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illyoconnor/Desktop/R Projects/Fast-Slow-Stability/R/Data/"/>
    </mc:Choice>
  </mc:AlternateContent>
  <xr:revisionPtr revIDLastSave="0" documentId="8_{DDA3E076-DBFB-994C-921C-1D995B6852AD}" xr6:coauthVersionLast="47" xr6:coauthVersionMax="47" xr10:uidLastSave="{00000000-0000-0000-0000-000000000000}"/>
  <bookViews>
    <workbookView xWindow="1500" yWindow="1320" windowWidth="27640" windowHeight="16940" xr2:uid="{14C24B81-E2FD-A944-8502-D4C01A481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1" i="1" l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J304" i="1"/>
  <c r="K304" i="1" s="1"/>
  <c r="J303" i="1"/>
  <c r="K303" i="1" s="1"/>
  <c r="J302" i="1"/>
  <c r="K302" i="1" s="1"/>
  <c r="K301" i="1"/>
  <c r="J301" i="1"/>
  <c r="J300" i="1"/>
  <c r="K300" i="1" s="1"/>
  <c r="J299" i="1"/>
  <c r="K299" i="1" s="1"/>
  <c r="J298" i="1"/>
  <c r="K298" i="1" s="1"/>
  <c r="J297" i="1"/>
  <c r="K297" i="1" s="1"/>
  <c r="J296" i="1"/>
  <c r="K296" i="1" s="1"/>
  <c r="J295" i="1"/>
  <c r="K295" i="1" s="1"/>
  <c r="J294" i="1"/>
  <c r="K294" i="1" s="1"/>
  <c r="J293" i="1"/>
  <c r="K293" i="1" s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J271" i="1"/>
  <c r="K271" i="1" s="1"/>
  <c r="J270" i="1"/>
  <c r="K270" i="1" s="1"/>
  <c r="J269" i="1"/>
  <c r="K269" i="1" s="1"/>
  <c r="J268" i="1"/>
  <c r="K268" i="1" s="1"/>
  <c r="J267" i="1"/>
  <c r="K267" i="1" s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J253" i="1"/>
  <c r="K253" i="1" s="1"/>
  <c r="J252" i="1"/>
  <c r="K252" i="1" s="1"/>
  <c r="J251" i="1"/>
  <c r="K251" i="1" s="1"/>
  <c r="J250" i="1"/>
  <c r="K250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42" i="1"/>
  <c r="K242" i="1" s="1"/>
  <c r="J241" i="1"/>
  <c r="K241" i="1" s="1"/>
  <c r="J240" i="1"/>
  <c r="K240" i="1" s="1"/>
  <c r="K239" i="1"/>
  <c r="J239" i="1"/>
  <c r="J238" i="1"/>
  <c r="K238" i="1" s="1"/>
  <c r="J237" i="1"/>
  <c r="K237" i="1" s="1"/>
  <c r="J236" i="1"/>
  <c r="K236" i="1" s="1"/>
  <c r="J235" i="1"/>
  <c r="K235" i="1" s="1"/>
  <c r="J234" i="1"/>
  <c r="K234" i="1" s="1"/>
  <c r="K233" i="1"/>
  <c r="J233" i="1"/>
  <c r="J232" i="1"/>
  <c r="K232" i="1" s="1"/>
  <c r="J231" i="1"/>
  <c r="K231" i="1" s="1"/>
  <c r="J230" i="1"/>
  <c r="K230" i="1" s="1"/>
  <c r="J229" i="1"/>
  <c r="K229" i="1" s="1"/>
  <c r="J228" i="1"/>
  <c r="K228" i="1" s="1"/>
  <c r="J227" i="1"/>
  <c r="K227" i="1" s="1"/>
  <c r="J226" i="1"/>
  <c r="K226" i="1" s="1"/>
  <c r="J225" i="1"/>
  <c r="K225" i="1" s="1"/>
  <c r="J224" i="1"/>
  <c r="K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K218" i="1" s="1"/>
  <c r="J217" i="1"/>
  <c r="K217" i="1" s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J209" i="1"/>
  <c r="K209" i="1" s="1"/>
  <c r="J208" i="1"/>
  <c r="K208" i="1" s="1"/>
  <c r="J207" i="1"/>
  <c r="K207" i="1" s="1"/>
  <c r="J206" i="1"/>
  <c r="K206" i="1" s="1"/>
  <c r="J205" i="1"/>
  <c r="K205" i="1" s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8" i="1"/>
  <c r="K198" i="1" s="1"/>
  <c r="J197" i="1"/>
  <c r="K197" i="1" s="1"/>
  <c r="J196" i="1"/>
  <c r="K196" i="1" s="1"/>
  <c r="J195" i="1"/>
  <c r="K195" i="1" s="1"/>
  <c r="J194" i="1"/>
  <c r="K194" i="1" s="1"/>
  <c r="J193" i="1"/>
  <c r="K193" i="1" s="1"/>
  <c r="J192" i="1"/>
  <c r="K192" i="1" s="1"/>
  <c r="J191" i="1"/>
  <c r="K191" i="1" s="1"/>
  <c r="J190" i="1"/>
  <c r="K190" i="1" s="1"/>
  <c r="J189" i="1"/>
  <c r="K189" i="1" s="1"/>
  <c r="J188" i="1"/>
  <c r="K188" i="1" s="1"/>
  <c r="J187" i="1"/>
  <c r="K187" i="1" s="1"/>
  <c r="J186" i="1"/>
  <c r="K186" i="1" s="1"/>
  <c r="J185" i="1"/>
  <c r="K185" i="1" s="1"/>
  <c r="J184" i="1"/>
  <c r="K184" i="1" s="1"/>
  <c r="J183" i="1"/>
  <c r="K183" i="1" s="1"/>
  <c r="J182" i="1"/>
  <c r="K182" i="1" s="1"/>
  <c r="J181" i="1"/>
  <c r="K181" i="1" s="1"/>
  <c r="J180" i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J173" i="1"/>
  <c r="K173" i="1" s="1"/>
  <c r="J172" i="1"/>
  <c r="K172" i="1" s="1"/>
  <c r="J171" i="1"/>
  <c r="K171" i="1" s="1"/>
  <c r="J170" i="1"/>
  <c r="K170" i="1" s="1"/>
  <c r="J169" i="1"/>
  <c r="K169" i="1" s="1"/>
  <c r="J168" i="1"/>
  <c r="K168" i="1" s="1"/>
  <c r="K167" i="1"/>
  <c r="J167" i="1"/>
  <c r="J166" i="1"/>
  <c r="K166" i="1" s="1"/>
  <c r="J165" i="1"/>
  <c r="K165" i="1" s="1"/>
  <c r="J164" i="1"/>
  <c r="K164" i="1" s="1"/>
  <c r="J163" i="1"/>
  <c r="K163" i="1" s="1"/>
  <c r="J162" i="1"/>
  <c r="K162" i="1" s="1"/>
  <c r="K161" i="1"/>
  <c r="J161" i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K95" i="1"/>
  <c r="J95" i="1"/>
  <c r="J94" i="1"/>
  <c r="K94" i="1" s="1"/>
  <c r="J93" i="1"/>
  <c r="K93" i="1" s="1"/>
  <c r="J92" i="1"/>
  <c r="K92" i="1" s="1"/>
  <c r="J91" i="1"/>
  <c r="K91" i="1" s="1"/>
  <c r="J90" i="1"/>
  <c r="K90" i="1" s="1"/>
  <c r="K89" i="1"/>
  <c r="J89" i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K48" i="1"/>
  <c r="J48" i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<sst xmlns="http://schemas.openxmlformats.org/spreadsheetml/2006/main" count="2364" uniqueCount="529">
  <si>
    <t>Unique_ID</t>
  </si>
  <si>
    <t>Ref</t>
  </si>
  <si>
    <t>Reference</t>
  </si>
  <si>
    <t>Region</t>
  </si>
  <si>
    <t>Taxa</t>
  </si>
  <si>
    <t>Group</t>
  </si>
  <si>
    <t>Species</t>
  </si>
  <si>
    <t>Mean_gm2</t>
  </si>
  <si>
    <t>Variance</t>
  </si>
  <si>
    <t>CV</t>
  </si>
  <si>
    <t>CV_k</t>
  </si>
  <si>
    <t>Count</t>
  </si>
  <si>
    <t>Units</t>
  </si>
  <si>
    <t>ts1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</si>
  <si>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</si>
  <si>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</si>
  <si>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</si>
  <si>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</si>
  <si>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</si>
  <si>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</si>
  <si>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</si>
  <si>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</si>
  <si>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</si>
  <si>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</si>
  <si>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</si>
  <si>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</si>
  <si>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</si>
  <si>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</si>
  <si>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</si>
  <si>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</si>
  <si>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</si>
  <si>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</si>
  <si>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</si>
  <si>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</si>
  <si>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</si>
  <si>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</si>
  <si>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</si>
  <si>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</si>
  <si>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</si>
  <si>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</si>
  <si>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</si>
  <si>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</si>
  <si>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</si>
  <si>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</si>
  <si>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</si>
  <si>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</si>
  <si>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</si>
  <si>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</si>
  <si>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</si>
  <si>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</si>
  <si>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</si>
  <si>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</si>
  <si>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</si>
  <si>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</si>
  <si>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</si>
  <si>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</si>
  <si>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</si>
  <si>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</si>
  <si>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</si>
  <si>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</si>
  <si>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</si>
  <si>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</si>
  <si>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</si>
  <si>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</si>
  <si>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</si>
  <si>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</si>
  <si>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</si>
  <si>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</si>
  <si>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</si>
  <si>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</si>
  <si>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</si>
  <si>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</si>
  <si>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</si>
  <si>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</si>
  <si>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</si>
  <si>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</si>
  <si>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</si>
  <si>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</si>
  <si>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</si>
  <si>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</si>
  <si>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</si>
  <si>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</si>
  <si>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</si>
  <si>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</si>
  <si>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</si>
  <si>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</si>
  <si>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</si>
  <si>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</si>
  <si>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</si>
  <si>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</si>
  <si>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</si>
  <si>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</si>
  <si>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</si>
  <si>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</si>
  <si>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</si>
  <si>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</si>
  <si>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</si>
  <si>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</si>
  <si>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</si>
  <si>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</si>
  <si>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</si>
  <si>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</si>
  <si>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</si>
  <si>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</si>
  <si>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</si>
  <si>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</si>
  <si>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</si>
  <si>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</si>
  <si>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</si>
  <si>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</si>
  <si>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</si>
  <si>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</si>
  <si>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</si>
  <si>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</si>
  <si>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</si>
  <si>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</si>
  <si>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</si>
  <si>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</si>
  <si>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</si>
  <si>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</si>
  <si>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</si>
  <si>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</si>
  <si>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</si>
  <si>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</si>
  <si>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</si>
  <si>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</si>
  <si>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</si>
  <si>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</si>
  <si>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</si>
  <si>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</si>
  <si>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</si>
  <si>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</si>
  <si>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</si>
  <si>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</si>
  <si>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</si>
  <si>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</si>
  <si>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</si>
  <si>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</si>
  <si>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</si>
  <si>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</si>
  <si>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</si>
  <si>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</si>
  <si>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</si>
  <si>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</si>
  <si>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</si>
  <si>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</si>
  <si>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</si>
  <si>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</si>
  <si>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African timeseries</t>
  </si>
  <si>
    <t>From Hatton 2015</t>
  </si>
  <si>
    <t>Ngorongoro crater</t>
  </si>
  <si>
    <t>Mammal</t>
  </si>
  <si>
    <t>Carnivore</t>
  </si>
  <si>
    <t>Lion</t>
  </si>
  <si>
    <t>g/m2</t>
  </si>
  <si>
    <t>Hluhluwe-iMfolozi NP</t>
  </si>
  <si>
    <t>Serengeti ecosystem</t>
  </si>
  <si>
    <t>Herbivore</t>
  </si>
  <si>
    <t>Buffalo</t>
  </si>
  <si>
    <t>Kruger NP</t>
  </si>
  <si>
    <t>Zebra</t>
  </si>
  <si>
    <t>Wildebeest</t>
  </si>
  <si>
    <t>Eland</t>
  </si>
  <si>
    <t>Waterbuck</t>
  </si>
  <si>
    <t>Kudu</t>
  </si>
  <si>
    <t>Grant's Gazelle</t>
  </si>
  <si>
    <t>Nyala</t>
  </si>
  <si>
    <t>Topi / Tsessebe</t>
  </si>
  <si>
    <t>Thomson's Gazelle</t>
  </si>
  <si>
    <t>Impala</t>
  </si>
  <si>
    <t>Ecosystem census</t>
  </si>
  <si>
    <t>Africa</t>
  </si>
  <si>
    <t>Sp_Hyena</t>
  </si>
  <si>
    <t>A_Leopard</t>
  </si>
  <si>
    <t>Cheetah</t>
  </si>
  <si>
    <t>W_Dog</t>
  </si>
  <si>
    <t>Elephant</t>
  </si>
  <si>
    <t>Hippo</t>
  </si>
  <si>
    <t>B_Rhine</t>
  </si>
  <si>
    <t>Giraffe</t>
  </si>
  <si>
    <t>Roan</t>
  </si>
  <si>
    <t>Sable</t>
  </si>
  <si>
    <t>Oryx</t>
  </si>
  <si>
    <t>Hartebeest</t>
  </si>
  <si>
    <t>Topi</t>
  </si>
  <si>
    <t>Warthog</t>
  </si>
  <si>
    <t>G_Gazelle</t>
  </si>
  <si>
    <t>Reedbuck</t>
  </si>
  <si>
    <t>Bushbuck</t>
  </si>
  <si>
    <t>T_Gazelle</t>
  </si>
  <si>
    <t>Duiker</t>
  </si>
  <si>
    <t>O_Baboon</t>
  </si>
  <si>
    <t>Oribi</t>
  </si>
  <si>
    <t>Klipspringer</t>
  </si>
  <si>
    <t>Steenbok</t>
  </si>
  <si>
    <t>Dik-dik</t>
  </si>
  <si>
    <t>Asia</t>
  </si>
  <si>
    <t>Tiger</t>
  </si>
  <si>
    <t>I_Leopard</t>
  </si>
  <si>
    <t>S_Bear</t>
  </si>
  <si>
    <t>St_Hyena</t>
  </si>
  <si>
    <t>Dhole</t>
  </si>
  <si>
    <t>G_Jackal</t>
  </si>
  <si>
    <t>I_Elephant</t>
  </si>
  <si>
    <t>Gaur</t>
  </si>
  <si>
    <t>Sambar</t>
  </si>
  <si>
    <t>Nilgai</t>
  </si>
  <si>
    <t>Chital</t>
  </si>
  <si>
    <t>W_boar</t>
  </si>
  <si>
    <t>Blackbuck</t>
  </si>
  <si>
    <t>FH_Antelope</t>
  </si>
  <si>
    <t>Chinkara (Indian gazelle)</t>
  </si>
  <si>
    <t>Muntjac</t>
  </si>
  <si>
    <t>Langur</t>
  </si>
  <si>
    <t>R_Macaque</t>
  </si>
  <si>
    <t>North America</t>
  </si>
  <si>
    <t>NA_Wolf</t>
  </si>
  <si>
    <t>Moose</t>
  </si>
  <si>
    <t>WT-deer</t>
  </si>
  <si>
    <t>http://www.imperial.ac.uk/cpb/gpdd2/showdata.aspx?dataset=45</t>
  </si>
  <si>
    <t>GPDD; dataset 45</t>
  </si>
  <si>
    <t>Wytham Wood, Oxfordshire, UK</t>
  </si>
  <si>
    <t>Apodemus sylvaticus</t>
  </si>
  <si>
    <t>http://www.imperial.ac.uk/cpb/gpdd2/showdata.aspx?dataset=46</t>
  </si>
  <si>
    <t>GPDD; dataset 46</t>
  </si>
  <si>
    <t>Clethrionomys glareolus</t>
  </si>
  <si>
    <t>http://www.imperial.ac.uk/cpb/gpdd2/showdata.aspx?dataset=47</t>
  </si>
  <si>
    <t>GPDD; dataset 47</t>
  </si>
  <si>
    <t>Downing &amp; Plante 1993</t>
  </si>
  <si>
    <t>Freshwater</t>
  </si>
  <si>
    <t>Ectotherm</t>
  </si>
  <si>
    <t>Fish</t>
  </si>
  <si>
    <t>Perca</t>
  </si>
  <si>
    <t>Salvelinus</t>
  </si>
  <si>
    <t>Chironomus</t>
  </si>
  <si>
    <t>Procladius</t>
  </si>
  <si>
    <t>Tanytarsus</t>
  </si>
  <si>
    <t>Coregonus</t>
  </si>
  <si>
    <t>Dahmen, K (1997): Tab. H3: Production of copepodites and mesoInvertebrate groups in 1988-1992 at station BMP-K2. doi:10.1594/PANGAEA.761820,</t>
  </si>
  <si>
    <t>Dahmen 1997</t>
  </si>
  <si>
    <t>Invertebrate</t>
  </si>
  <si>
    <t xml:space="preserve">P. minutus c </t>
  </si>
  <si>
    <t xml:space="preserve">Acartia sp. c </t>
  </si>
  <si>
    <t xml:space="preserve">T. longiremis c </t>
  </si>
  <si>
    <t>C. hamatus c</t>
  </si>
  <si>
    <t xml:space="preserve">O. similis c </t>
  </si>
  <si>
    <t>Copepoda</t>
  </si>
  <si>
    <t>Cladocera</t>
  </si>
  <si>
    <t xml:space="preserve">Rotatoria </t>
  </si>
  <si>
    <t xml:space="preserve">Append </t>
  </si>
  <si>
    <t xml:space="preserve">Polychaeta </t>
  </si>
  <si>
    <t>Bivalve</t>
  </si>
  <si>
    <t>MesoInvertebrate</t>
  </si>
  <si>
    <t>Mayzaud, Patrick (2004): Biomass of Invertebrate at different stations of ANTARES-II cruise. doi:10.1594/PANGAEA.136612</t>
  </si>
  <si>
    <t>Mayzaud 2004</t>
  </si>
  <si>
    <t>Antares II cruise</t>
  </si>
  <si>
    <t>Invertebrate spcs</t>
  </si>
  <si>
    <t>JGOFS-INDIA (2013): Invertebrate biomass measured on water bottle samples during Sagar Kanya cruise SK91. doi:10.1594/PANGAEA.807514</t>
  </si>
  <si>
    <t>JGOFS-INDIA 2013; cruise SK91</t>
  </si>
  <si>
    <t>Arabian Sea</t>
  </si>
  <si>
    <t>JGOFS-INDIA (2013): Invertebrate biomass measured on water bottle samples during Sagar Kanya cruise SK121. doi:10.1594/PANGAEA.807517</t>
  </si>
  <si>
    <t>JGOFS-INDIA 2013; cruise SK121</t>
  </si>
  <si>
    <t>JGOFS-INDIA (2013): Invertebrate biomass measured on water bottle samples during Sagar Kanya cruise SK99. doi:10.1594/PANGAEA.807515</t>
  </si>
  <si>
    <t>JGOFS-INDIA 2013; cruise SK99</t>
  </si>
  <si>
    <t>JGOFS-INDIA (2013): Invertebrate biomass measured on water bottle samples during Sagar Kanya cruise SK77. doi:10.1594/PANGAEA.807512</t>
  </si>
  <si>
    <t>JGOFS-INDIA 2013; cruise SK77</t>
  </si>
  <si>
    <t>JGOFS-INDIA (2013): Invertebrate biomass measured on water bottle samples during Sagar Kanya cruise SK87. doi:10.1594/PANGAEA.807513</t>
  </si>
  <si>
    <t>JGOFS-INDIA 2013; cruise SK87</t>
  </si>
  <si>
    <t>OMEX Project Members (2004): Invertebrate abundance during cruise CD85. doi:10.1594/PANGAEA.207521</t>
  </si>
  <si>
    <t>OMEX Project Members 2004</t>
  </si>
  <si>
    <t>Bidston Observatory, Birkenhead, Merseyside</t>
  </si>
  <si>
    <t xml:space="preserve">Amphipoda </t>
  </si>
  <si>
    <t xml:space="preserve">Chaetognatha </t>
  </si>
  <si>
    <t xml:space="preserve">Decapoda </t>
  </si>
  <si>
    <t xml:space="preserve">Euphausiacea </t>
  </si>
  <si>
    <t xml:space="preserve">Fish </t>
  </si>
  <si>
    <t xml:space="preserve">Medusae </t>
  </si>
  <si>
    <t xml:space="preserve">Mysidacea </t>
  </si>
  <si>
    <t xml:space="preserve">Pteropoda </t>
  </si>
  <si>
    <t xml:space="preserve">Salpida </t>
  </si>
  <si>
    <t xml:space="preserve">Siphonophora </t>
  </si>
  <si>
    <t>Huse, G (2014): Spatially explicit estimates of length and biomass of Clupea harengus (Norwegian spring spawning herring) from acoustic and trawl surveys in the North-East Atlantic in May 2007. Institute of Marine Research, Bergen, doi:10.1594/PANGAEA.827193</t>
  </si>
  <si>
    <t>Huse 2014</t>
  </si>
  <si>
    <t>North-East Atlantic</t>
  </si>
  <si>
    <t>Clupea harengus</t>
  </si>
  <si>
    <t>Huse 2015</t>
  </si>
  <si>
    <t>Huse, G (2014): Spatially explicit estimates of length and biomass of Clupea harengus (Norwegian spring spawning herring) from acoustic and trawl surveys in the North-East Atlantic in May 2007. Institute of Marine Research, Bergen, doi:10.1594/PANGAEA.827</t>
  </si>
  <si>
    <t>Lavaleye, Marc (2004): Benthic macrofauna abundance and biomass in surface sediment during cruise PLG95A. doi:10.1594/PANGAEA.207851</t>
  </si>
  <si>
    <t>Lavaleye 2004</t>
  </si>
  <si>
    <t xml:space="preserve">Aplacophora </t>
  </si>
  <si>
    <t xml:space="preserve">Holothuroidea </t>
  </si>
  <si>
    <t xml:space="preserve">Oligochaeta </t>
  </si>
  <si>
    <t xml:space="preserve">Ostrac </t>
  </si>
  <si>
    <t xml:space="preserve">Tunicata </t>
  </si>
  <si>
    <t xml:space="preserve">Scaphopoda </t>
  </si>
  <si>
    <t xml:space="preserve">Cumacea </t>
  </si>
  <si>
    <t xml:space="preserve">Isopoda </t>
  </si>
  <si>
    <t xml:space="preserve">Bivalvia </t>
  </si>
  <si>
    <t xml:space="preserve">Nematoda </t>
  </si>
  <si>
    <t xml:space="preserve">Nemertini </t>
  </si>
  <si>
    <t xml:space="preserve">Ophiuroidea </t>
  </si>
  <si>
    <t xml:space="preserve">Sipuncula </t>
  </si>
  <si>
    <t xml:space="preserve">Tanaidacea </t>
  </si>
  <si>
    <t>Hureau, Jean-Claude; Balguerias, Eduardo; Duhamel, Guy; Kock, Karl-Hermann; Ozouf-Costaz, Catherine; White, Martin; Gutt, Julian (2012): Counts and mass of fish species from trawl and dredge samples in the eastern Weddell Sea during POLARSTERN cruise ANT-VII/4. doi:10.1594/PANGAEA.786886</t>
  </si>
  <si>
    <t>Hureau 2012</t>
  </si>
  <si>
    <t>Eastern Weddell Sea</t>
  </si>
  <si>
    <t xml:space="preserve">C. myersi </t>
  </si>
  <si>
    <t xml:space="preserve">P. antarcticum </t>
  </si>
  <si>
    <t xml:space="preserve">T. lepidorhinus </t>
  </si>
  <si>
    <t xml:space="preserve">C. wilsoni </t>
  </si>
  <si>
    <t xml:space="preserve">T. scotti </t>
  </si>
  <si>
    <t xml:space="preserve">C. hamatus </t>
  </si>
  <si>
    <t xml:space="preserve">C. antarcticus </t>
  </si>
  <si>
    <t xml:space="preserve">D. hunteri </t>
  </si>
  <si>
    <t xml:space="preserve">M. holotrachys </t>
  </si>
  <si>
    <t xml:space="preserve">P. brachycephalum </t>
  </si>
  <si>
    <t xml:space="preserve">P. permitini </t>
  </si>
  <si>
    <t>Fish community</t>
  </si>
  <si>
    <t>Wiethüchter, Anita; Schnack-Schiel, Sigrid B; Asmus, Harald (2009): Seagrass biomass per area from Island Bone Batang, Spermonde Archipelago, Indonesia. doi:10.1594/PANGAEA.727003</t>
  </si>
  <si>
    <t>Wiethuchter 2009a</t>
  </si>
  <si>
    <t>Batang, Spermonde Archipelago, Indonesia</t>
  </si>
  <si>
    <t>Atrina vexillum</t>
  </si>
  <si>
    <t>Wiethüchter, Anita; Schnack-Schiel, Sigrid B; Asmus, Harald (2009): Biomass of Pinna bicolor at Island Bone Batang, Spermonde Archipelago, Indonesia. doi:10.1594/PANGAEA.726966</t>
  </si>
  <si>
    <t>Wiethuchter 2009b</t>
  </si>
  <si>
    <t>Pinna bicolor</t>
  </si>
  <si>
    <t>Wiethüchter, Anita; Schnack-Schiel, Sigrid B; Asmus, Harald (2009): Biomass of Pinna muricata at Island Bone Batang, Spermonde Archipelago, Indonesia. doi:10.1594/PANGAEA.726967</t>
  </si>
  <si>
    <t>Wiethuchter 2009c</t>
  </si>
  <si>
    <t>Pinna muricata</t>
  </si>
  <si>
    <t>Schmiing, Mara; Laudien, Jürgen; Sahade, Ricardo (2006): Early succession in benthic hard bottom communities in Kongsfjorden, Svalbard - biomass. doi:10.1594/PANGAEA.351151</t>
  </si>
  <si>
    <t>Schmiing 2006</t>
  </si>
  <si>
    <t>Kongsfjorden, Svalbard</t>
  </si>
  <si>
    <t>Berenicea arctica </t>
  </si>
  <si>
    <t>Balanus crenatus </t>
  </si>
  <si>
    <t>Callopora craticula </t>
  </si>
  <si>
    <t>Celleporella hyalina </t>
  </si>
  <si>
    <t>Circeis spirillum </t>
  </si>
  <si>
    <t>Dendrobeania fruticosa </t>
  </si>
  <si>
    <t>Disporella verrucaria </t>
  </si>
  <si>
    <t>Harmothoe imbricata </t>
  </si>
  <si>
    <t>Metopa sp. </t>
  </si>
  <si>
    <t>Oncousoecia canadensis </t>
  </si>
  <si>
    <t>Obelia dichotoma </t>
  </si>
  <si>
    <t>Ostracoda </t>
  </si>
  <si>
    <t>Paradexiospira vitrea </t>
  </si>
  <si>
    <t>Scrupocellaria arctica </t>
  </si>
  <si>
    <t>Schizoporella porifera </t>
  </si>
  <si>
    <t>Spirorbis spirorbis </t>
  </si>
  <si>
    <t>Spirorbis tridentatus </t>
  </si>
  <si>
    <t>Tegella arctica </t>
  </si>
  <si>
    <t>Tegella armifera </t>
  </si>
  <si>
    <t>Tonicella marmorea </t>
  </si>
  <si>
    <t>Niklas and Enquist 2004</t>
  </si>
  <si>
    <t>Land</t>
  </si>
  <si>
    <t>Cryptomeria</t>
  </si>
  <si>
    <t>Plant</t>
  </si>
  <si>
    <t>Cryptomeria japonica</t>
  </si>
  <si>
    <t>Chamaecyparis</t>
  </si>
  <si>
    <t>Chamaecyparis obtusa</t>
  </si>
  <si>
    <t>Pinus</t>
  </si>
  <si>
    <t>Pinus sylvestris</t>
  </si>
  <si>
    <t>Fagus</t>
  </si>
  <si>
    <t>Fagus crenata</t>
  </si>
  <si>
    <t>Fagus sylvatica</t>
  </si>
  <si>
    <t>Abies</t>
  </si>
  <si>
    <t>Abies veitchii</t>
  </si>
  <si>
    <t>Abies alba</t>
  </si>
  <si>
    <t>Castanopsis</t>
  </si>
  <si>
    <t>Castanopsis cuspidata</t>
  </si>
  <si>
    <t>Pinus nigra</t>
  </si>
  <si>
    <t>Shorea</t>
  </si>
  <si>
    <t>Shorea robusta</t>
  </si>
  <si>
    <t>Populus</t>
  </si>
  <si>
    <t>Populus tremuloides</t>
  </si>
  <si>
    <t>Micranda</t>
  </si>
  <si>
    <t>Micranda spruceana</t>
  </si>
  <si>
    <t>Pinus sylvestria</t>
  </si>
  <si>
    <t>Picea</t>
  </si>
  <si>
    <t>Picea abies</t>
  </si>
  <si>
    <t>Pinus rigida</t>
  </si>
  <si>
    <t>Pinus banksiana</t>
  </si>
  <si>
    <t>Abies firma</t>
  </si>
  <si>
    <t>Camellia</t>
  </si>
  <si>
    <t>Camellia japonica</t>
  </si>
  <si>
    <t>Hevea</t>
  </si>
  <si>
    <t>Hevea braziliensis</t>
  </si>
  <si>
    <t>Betula</t>
  </si>
  <si>
    <t>Betula spcs</t>
  </si>
  <si>
    <t>Quercus</t>
  </si>
  <si>
    <t>Quercus spcs</t>
  </si>
  <si>
    <t>Eucalyptus</t>
  </si>
  <si>
    <t>Eucalyptus spcs</t>
  </si>
  <si>
    <t>Alnus</t>
  </si>
  <si>
    <t>Alnus spcs</t>
  </si>
  <si>
    <t>Acacia</t>
  </si>
  <si>
    <t>Acacia spcs</t>
  </si>
  <si>
    <t>Pinus spcs</t>
  </si>
  <si>
    <t>Picea spcs</t>
  </si>
  <si>
    <t>Abies spcs</t>
  </si>
  <si>
    <t>Huston Wolverton 2009</t>
  </si>
  <si>
    <t>Forest plant</t>
  </si>
  <si>
    <t>Aspen</t>
  </si>
  <si>
    <t>Beech</t>
  </si>
  <si>
    <t>Birch</t>
  </si>
  <si>
    <t>Montane</t>
  </si>
  <si>
    <t>Oak</t>
  </si>
  <si>
    <t>Rainforest</t>
  </si>
  <si>
    <t>Savanna</t>
  </si>
  <si>
    <t>Spruce</t>
  </si>
  <si>
    <t>Pine</t>
  </si>
  <si>
    <t>Tsuga</t>
  </si>
  <si>
    <t>Bokhorst, S et al. (2011): (Table 3) Biomass of Empetrum hermaphroditum, Vaccinium vitis-idaea, and Vaccinium myrtillus in winter warming event plots. doi:10.1594/PANGAEA.807754,</t>
  </si>
  <si>
    <t>Bokhorst 2011</t>
  </si>
  <si>
    <t>Abisko, Lappland, northern Sweden</t>
  </si>
  <si>
    <t xml:space="preserve">E. hermaphroditum </t>
  </si>
  <si>
    <t xml:space="preserve">V. vitis-idaea </t>
  </si>
  <si>
    <t xml:space="preserve">V. myrtillus </t>
  </si>
  <si>
    <t>Gao etc. 2013 - Using MODIS time series data to estimate aboveground biomass and its spatio-temporal variation in Inner Mongolia's grassland between 2001 and 2011</t>
  </si>
  <si>
    <t>Gao 2013</t>
  </si>
  <si>
    <t>Inner Mongolia</t>
  </si>
  <si>
    <t>Grassland</t>
  </si>
  <si>
    <t>Temperate grassland</t>
  </si>
  <si>
    <t>Lowland meadow</t>
  </si>
  <si>
    <t>Temperate meadow steppe</t>
  </si>
  <si>
    <t>Temperate desert steppe</t>
  </si>
  <si>
    <t>Temperate steppe-desert</t>
  </si>
  <si>
    <t>Temperate desert</t>
  </si>
  <si>
    <t>Other grasslands</t>
  </si>
  <si>
    <t>Seagrass</t>
  </si>
  <si>
    <t>Thalassia hemprichii, leaves</t>
  </si>
  <si>
    <t>Cymodocea rotundata, leaves</t>
  </si>
  <si>
    <t>Halodule uninervis, leaves </t>
  </si>
  <si>
    <t>Halophila ovalis, leaves</t>
  </si>
  <si>
    <t>Thalassia hemprichii, rhizomes</t>
  </si>
  <si>
    <t>Cymodocea rotundata, rhizomes</t>
  </si>
  <si>
    <t>Halodule uninervis, rhizomes</t>
  </si>
  <si>
    <t>Halophila ovalis, rhizomes</t>
  </si>
  <si>
    <t>Coral</t>
  </si>
  <si>
    <t>Corallinaceae </t>
  </si>
  <si>
    <t>seaweed</t>
  </si>
  <si>
    <t>Desmarestia aculeata </t>
  </si>
  <si>
    <t>Macroalgae</t>
  </si>
  <si>
    <t>Dictyosiphon foeniculaceus </t>
  </si>
  <si>
    <t>Desmarestia sp. </t>
  </si>
  <si>
    <t>Ectocarpus sp. </t>
  </si>
  <si>
    <t>Hildenbrandia rubra </t>
  </si>
  <si>
    <t>Phaeostroma pustulosum </t>
  </si>
  <si>
    <t>Phycodrys rubens </t>
  </si>
  <si>
    <t>Kaiser, W (1997): Tab. I: Phytoplankton time series at station BMP-K2. doi:10.1594/PANGAEA.761822</t>
  </si>
  <si>
    <t>Kaiser 1997</t>
  </si>
  <si>
    <t>Phytoplankton</t>
  </si>
  <si>
    <t>Protist</t>
  </si>
  <si>
    <t>Chl a</t>
  </si>
  <si>
    <t>Mikaelyan, AS (1987): (Table 1) Biomass per area of picoplankton algae, cyanobacteria, and total picoplankton and their contribution to total phytoplankton biomass in 0-200 m layer. doi:10.1594/PANGAEA.757415,</t>
  </si>
  <si>
    <t>Mikaelyan 1987</t>
  </si>
  <si>
    <t>Picoplankton algae</t>
  </si>
  <si>
    <t>Semina, GI et al. (1997): (Table 4) Biomass of the main taxonomic groups of phytoplankton and their percentage in total biomass of phytoplankton in the water column in the northern subtropical Pacific. doi:10.1594/PANGAEA.760151,</t>
  </si>
  <si>
    <t>Semina 1997a</t>
  </si>
  <si>
    <t>Dinoflagellates</t>
  </si>
  <si>
    <t>Diatoms</t>
  </si>
  <si>
    <t>Coccolith</t>
  </si>
  <si>
    <t>Flagellae</t>
  </si>
  <si>
    <t>Semina, GI et al. (1997): (Table 2) Biomass of three size groups of algae and their percentage in total biomass of phytoplankton in the water column in the northern subtropical Pacific. doi:10.1594/PANGAEA.760149,</t>
  </si>
  <si>
    <t>Semina 1997b</t>
  </si>
  <si>
    <t>Microplankton</t>
  </si>
  <si>
    <t>Nanoplankton</t>
  </si>
  <si>
    <t>Picoplankton</t>
  </si>
  <si>
    <t>Löder, MGJ et al. (2010): Biomass of dinoflagellates and ciliates at time series station Helgoland Roads, North Sea in 2007. doi:10.1594/PANGAEA.759981</t>
  </si>
  <si>
    <t>Loder 2010</t>
  </si>
  <si>
    <t>Hegoland Roads, North Sea 2007</t>
  </si>
  <si>
    <t xml:space="preserve">A. sanguinea </t>
  </si>
  <si>
    <t xml:space="preserve">A. crassum </t>
  </si>
  <si>
    <t xml:space="preserve">A. regina </t>
  </si>
  <si>
    <t>B. comatum C fra</t>
  </si>
  <si>
    <t xml:space="preserve">C. furca </t>
  </si>
  <si>
    <t xml:space="preserve">C. fusus </t>
  </si>
  <si>
    <t xml:space="preserve">C. horridum </t>
  </si>
  <si>
    <t xml:space="preserve">C. lineatum </t>
  </si>
  <si>
    <t xml:space="preserve">Dinophysis sp. </t>
  </si>
  <si>
    <t xml:space="preserve">D. cf. lenticula </t>
  </si>
  <si>
    <t xml:space="preserve">Euplotes sp. </t>
  </si>
  <si>
    <t xml:space="preserve">G. chlorophorum </t>
  </si>
  <si>
    <t>Gymnodinium sp. C fra</t>
  </si>
  <si>
    <t xml:space="preserve">G. calyptoglyphe </t>
  </si>
  <si>
    <t>Gyrodinium sp. C fra</t>
  </si>
  <si>
    <t>Mesodinium sp. C fra</t>
  </si>
  <si>
    <t xml:space="preserve">H. cf. niei </t>
  </si>
  <si>
    <t>Katodinium sp. C fra</t>
  </si>
  <si>
    <t xml:space="preserve">K. glaucum </t>
  </si>
  <si>
    <t xml:space="preserve">L. strobila </t>
  </si>
  <si>
    <t xml:space="preserve">L. cf. ovalis </t>
  </si>
  <si>
    <t xml:space="preserve">L. cf. sol </t>
  </si>
  <si>
    <t xml:space="preserve">L. oviformis </t>
  </si>
  <si>
    <t xml:space="preserve">M. pulex </t>
  </si>
  <si>
    <t xml:space="preserve">Mesoporos sp. </t>
  </si>
  <si>
    <t>M. rubra C fra</t>
  </si>
  <si>
    <t>Gyrodinium C fra</t>
  </si>
  <si>
    <t xml:space="preserve">Noctiluca scintillans </t>
  </si>
  <si>
    <t xml:space="preserve">P. kofoidii </t>
  </si>
  <si>
    <t xml:space="preserve">P. balticum </t>
  </si>
  <si>
    <t xml:space="preserve">P. micans </t>
  </si>
  <si>
    <t xml:space="preserve">P. triestinum </t>
  </si>
  <si>
    <t xml:space="preserve">P. bipes </t>
  </si>
  <si>
    <t xml:space="preserve">P. brevipes </t>
  </si>
  <si>
    <t xml:space="preserve">P. cf. pyriforme group </t>
  </si>
  <si>
    <t xml:space="preserve">P. cf. conicum </t>
  </si>
  <si>
    <t xml:space="preserve">P. cf. leonis </t>
  </si>
  <si>
    <t xml:space="preserve">P. cf. minutum group </t>
  </si>
  <si>
    <t>Protoperidinium sp. C fra</t>
  </si>
  <si>
    <t xml:space="preserve">Scrippsiella </t>
  </si>
  <si>
    <t>Scuticociliates C fra</t>
  </si>
  <si>
    <t xml:space="preserve">S. cf. neptunii </t>
  </si>
  <si>
    <t>S. sp. C fra</t>
  </si>
  <si>
    <t>Cyrtostrombidium sp. C fra</t>
  </si>
  <si>
    <t xml:space="preserve">S. cf. acutum </t>
  </si>
  <si>
    <t>S. cf. epidemum C fra</t>
  </si>
  <si>
    <t xml:space="preserve">S. cf. lynni </t>
  </si>
  <si>
    <t>Strombidium C fra</t>
  </si>
  <si>
    <t xml:space="preserve">S. cf. tressum </t>
  </si>
  <si>
    <t xml:space="preserve">Vorticella sp. </t>
  </si>
  <si>
    <t xml:space="preserve">T. fusus </t>
  </si>
  <si>
    <t>Tintinnid sp. C fra</t>
  </si>
  <si>
    <t xml:space="preserve">Tintinnopsis sp. </t>
  </si>
  <si>
    <t xml:space="preserve">T. cf. balechi </t>
  </si>
  <si>
    <t xml:space="preserve">T. gracillima </t>
  </si>
  <si>
    <t>T. robustum C fra</t>
  </si>
  <si>
    <t xml:space="preserve">Warnowia sp. </t>
  </si>
  <si>
    <t>Algae</t>
  </si>
  <si>
    <t>Acrosiphonia sp.</t>
  </si>
  <si>
    <t>Foraminifera, benthic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</si>
</sst>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E7CE-80AA-CB4D-AFD6-8D53B444F381}">
  <dimension ref="A1:ER321"/>
  <sheetViews>
    <sheetView tabSelected="1" workbookViewId="0">
      <selection sqref="A1:ER321"/>
    </sheetView>
  </sheetViews>
  <sheetFormatPr baseColWidth="10" defaultRowHeight="16" x14ac:dyDescent="0.2"/>
  <sheetData>
    <row r="1" spans="1:1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2">
      <c r="A2">
        <v>1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>
        <v>3.4414713999999999E-2</v>
      </c>
      <c r="I2">
        <v>1.7367899999999999E-4</v>
      </c>
      <c r="J2">
        <f>SQRT(I2)/H2</f>
        <v>0.38293890420732346</v>
      </c>
      <c r="K2">
        <f>SQRT(J2^2/(1+J2^2))</f>
        <v>0.35761483698033364</v>
      </c>
      <c r="L2">
        <v>49</v>
      </c>
      <c r="M2" t="s">
        <v>154</v>
      </c>
      <c r="O2">
        <v>4.6057858E-2</v>
      </c>
      <c r="P2">
        <v>6.3545620000000002E-3</v>
      </c>
      <c r="Q2">
        <v>6.6840420000000003E-3</v>
      </c>
      <c r="R2">
        <v>1.4538116E-2</v>
      </c>
      <c r="S2">
        <v>1.5134809000000001E-2</v>
      </c>
      <c r="T2">
        <v>2.2244949E-2</v>
      </c>
      <c r="U2">
        <v>2.5781723999999999E-2</v>
      </c>
      <c r="V2">
        <v>3.4427948999999999E-2</v>
      </c>
      <c r="W2">
        <v>2.8667976000000001E-2</v>
      </c>
      <c r="X2">
        <v>3.2223531E-2</v>
      </c>
      <c r="Y2">
        <v>3.6513443E-2</v>
      </c>
      <c r="AB2">
        <v>5.9076262999999997E-2</v>
      </c>
      <c r="AC2">
        <v>5.3457323000000001E-2</v>
      </c>
      <c r="AD2">
        <v>5.2443840999999998E-2</v>
      </c>
      <c r="AE2">
        <v>4.6801548999999998E-2</v>
      </c>
      <c r="AF2">
        <v>4.9039604000000001E-2</v>
      </c>
      <c r="AG2">
        <v>5.3173957000000001E-2</v>
      </c>
      <c r="AH2">
        <v>5.2730329999999999E-2</v>
      </c>
      <c r="AI2">
        <v>6.0359046E-2</v>
      </c>
      <c r="AJ2">
        <v>4.5055668E-2</v>
      </c>
      <c r="AK2">
        <v>4.6189209000000002E-2</v>
      </c>
      <c r="AL2">
        <v>4.2499582000000001E-2</v>
      </c>
      <c r="AM2">
        <v>4.3350130000000001E-2</v>
      </c>
      <c r="AN2">
        <v>4.6987016999999999E-2</v>
      </c>
      <c r="AO2">
        <v>4.7031027000000003E-2</v>
      </c>
      <c r="AP2">
        <v>4.8235732000000003E-2</v>
      </c>
      <c r="AQ2">
        <v>4.3493630999999998E-2</v>
      </c>
      <c r="AR2">
        <v>3.8431410999999999E-2</v>
      </c>
      <c r="AS2">
        <v>4.0349543000000002E-2</v>
      </c>
      <c r="AT2">
        <v>3.3032602000000001E-2</v>
      </c>
      <c r="AU2">
        <v>2.7512865000000001E-2</v>
      </c>
      <c r="AV2">
        <v>2.4582632E-2</v>
      </c>
      <c r="AW2">
        <v>2.6649084999999999E-2</v>
      </c>
      <c r="AX2">
        <v>2.4594332E-2</v>
      </c>
      <c r="AY2">
        <v>1.5456093000000001E-2</v>
      </c>
      <c r="AZ2">
        <v>2.4157406999999999E-2</v>
      </c>
      <c r="BA2">
        <v>2.9433309000000001E-2</v>
      </c>
      <c r="BB2">
        <v>2.5652388000000002E-2</v>
      </c>
      <c r="BC2">
        <v>1.9208566999999999E-2</v>
      </c>
      <c r="BD2">
        <v>2.0240280999999999E-2</v>
      </c>
      <c r="BE2">
        <v>2.7358339999999998E-2</v>
      </c>
      <c r="BF2">
        <v>3.6270772E-2</v>
      </c>
      <c r="BG2">
        <v>3.8152361000000003E-2</v>
      </c>
      <c r="BH2">
        <v>2.9153161E-2</v>
      </c>
      <c r="BI2">
        <v>3.0455084E-2</v>
      </c>
      <c r="BJ2">
        <v>3.1628096000000001E-2</v>
      </c>
      <c r="BK2">
        <v>3.1220267999999999E-2</v>
      </c>
      <c r="BL2">
        <v>2.9740118999999999E-2</v>
      </c>
      <c r="BM2">
        <v>2.4489383999999999E-2</v>
      </c>
    </row>
    <row r="3" spans="1:148" x14ac:dyDescent="0.2">
      <c r="A3">
        <v>2</v>
      </c>
      <c r="B3" t="s">
        <v>148</v>
      </c>
      <c r="C3" t="s">
        <v>149</v>
      </c>
      <c r="D3" t="s">
        <v>155</v>
      </c>
      <c r="E3" t="s">
        <v>151</v>
      </c>
      <c r="F3" t="s">
        <v>152</v>
      </c>
      <c r="G3" t="s">
        <v>153</v>
      </c>
      <c r="H3">
        <v>1.2121748E-2</v>
      </c>
      <c r="I3" s="1">
        <v>2.3764299999999999E-5</v>
      </c>
      <c r="J3">
        <f t="shared" ref="J3:J66" si="0">SQRT(I3)/H3</f>
        <v>0.40215850887758797</v>
      </c>
      <c r="K3">
        <f t="shared" ref="K3:K66" si="1">SQRT(J3^2/(1+J3^2))</f>
        <v>0.3731164404856438</v>
      </c>
      <c r="L3">
        <v>23</v>
      </c>
      <c r="M3" t="s">
        <v>154</v>
      </c>
      <c r="W3">
        <v>3.6643320000000002E-3</v>
      </c>
      <c r="X3">
        <v>7.4087119999999996E-3</v>
      </c>
      <c r="AA3">
        <v>1.5077223000000001E-2</v>
      </c>
      <c r="AB3">
        <v>1.3407987999999999E-2</v>
      </c>
      <c r="AC3">
        <v>9.0089239999999998E-3</v>
      </c>
      <c r="AK3">
        <v>1.2726693000000001E-2</v>
      </c>
      <c r="AL3">
        <v>1.1923543999999999E-2</v>
      </c>
      <c r="AN3">
        <v>9.0678419999999996E-3</v>
      </c>
      <c r="AO3">
        <v>1.8695804E-2</v>
      </c>
      <c r="AP3">
        <v>1.4125746999999999E-2</v>
      </c>
      <c r="AU3">
        <v>7.8563650000000006E-3</v>
      </c>
      <c r="AV3">
        <v>7.171139E-3</v>
      </c>
      <c r="AW3">
        <v>8.551154E-3</v>
      </c>
      <c r="BA3">
        <v>1.053457E-2</v>
      </c>
      <c r="BB3">
        <v>1.2318579E-2</v>
      </c>
      <c r="BC3">
        <v>1.4125746999999999E-2</v>
      </c>
      <c r="BD3">
        <v>1.1769106E-2</v>
      </c>
      <c r="BE3">
        <v>1.0954755E-2</v>
      </c>
      <c r="BF3">
        <v>8.1697269999999999E-3</v>
      </c>
      <c r="BI3">
        <v>1.1026398999999999E-2</v>
      </c>
      <c r="BJ3">
        <v>1.4979258000000001E-2</v>
      </c>
      <c r="BK3">
        <v>1.9825457000000001E-2</v>
      </c>
      <c r="BL3">
        <v>2.6411137000000001E-2</v>
      </c>
    </row>
    <row r="4" spans="1:148" x14ac:dyDescent="0.2">
      <c r="A4">
        <v>3</v>
      </c>
      <c r="B4" t="s">
        <v>148</v>
      </c>
      <c r="C4" t="s">
        <v>149</v>
      </c>
      <c r="D4" t="s">
        <v>156</v>
      </c>
      <c r="E4" t="s">
        <v>151</v>
      </c>
      <c r="F4" t="s">
        <v>152</v>
      </c>
      <c r="G4" t="s">
        <v>153</v>
      </c>
      <c r="H4">
        <v>1.5792207999999999E-2</v>
      </c>
      <c r="I4" s="1">
        <v>1.8864300000000002E-5</v>
      </c>
      <c r="J4">
        <f t="shared" si="0"/>
        <v>0.27502836798077046</v>
      </c>
      <c r="K4">
        <f t="shared" si="1"/>
        <v>0.26518191220171866</v>
      </c>
      <c r="L4">
        <v>43</v>
      </c>
      <c r="M4" t="s">
        <v>154</v>
      </c>
      <c r="S4">
        <v>6.2936499999999996E-3</v>
      </c>
      <c r="T4">
        <v>8.3060019999999998E-3</v>
      </c>
      <c r="U4">
        <v>9.3633250000000005E-3</v>
      </c>
      <c r="V4">
        <v>8.5656880000000001E-3</v>
      </c>
      <c r="AA4">
        <v>1.1487004E-2</v>
      </c>
      <c r="AB4">
        <v>1.3017627E-2</v>
      </c>
      <c r="AC4">
        <v>1.4235014000000001E-2</v>
      </c>
      <c r="AD4">
        <v>1.2907966E-2</v>
      </c>
      <c r="AE4">
        <v>1.300991E-2</v>
      </c>
      <c r="AF4">
        <v>1.2106307E-2</v>
      </c>
      <c r="AG4">
        <v>1.1906168E-2</v>
      </c>
      <c r="AH4">
        <v>1.2587173E-2</v>
      </c>
      <c r="AI4">
        <v>1.3197530000000001E-2</v>
      </c>
      <c r="AJ4">
        <v>1.409613E-2</v>
      </c>
      <c r="AK4">
        <v>1.6803893E-2</v>
      </c>
      <c r="AL4">
        <v>1.5269934000000001E-2</v>
      </c>
      <c r="AM4">
        <v>1.6257988000000001E-2</v>
      </c>
      <c r="AN4">
        <v>1.6354882000000001E-2</v>
      </c>
      <c r="AO4">
        <v>1.4801718E-2</v>
      </c>
      <c r="AP4">
        <v>1.3189414999999999E-2</v>
      </c>
      <c r="AQ4">
        <v>1.3450228999999999E-2</v>
      </c>
      <c r="AR4">
        <v>1.5312660000000001E-2</v>
      </c>
      <c r="AS4">
        <v>1.5987476E-2</v>
      </c>
      <c r="AT4">
        <v>1.6431715E-2</v>
      </c>
      <c r="AU4">
        <v>1.2768078E-2</v>
      </c>
      <c r="AV4">
        <v>1.1820913000000001E-2</v>
      </c>
      <c r="AW4">
        <v>1.3144364E-2</v>
      </c>
      <c r="AX4">
        <v>1.6264642999999999E-2</v>
      </c>
      <c r="AY4">
        <v>1.5610133999999999E-2</v>
      </c>
      <c r="AZ4">
        <v>1.9085677999999998E-2</v>
      </c>
      <c r="BA4">
        <v>1.9748063999999999E-2</v>
      </c>
      <c r="BB4">
        <v>1.9189320999999999E-2</v>
      </c>
      <c r="BC4">
        <v>2.0920195999999999E-2</v>
      </c>
      <c r="BD4">
        <v>2.1118041000000001E-2</v>
      </c>
      <c r="BE4">
        <v>2.1868081000000001E-2</v>
      </c>
      <c r="BF4">
        <v>2.2871663E-2</v>
      </c>
      <c r="BG4">
        <v>2.2091979000000001E-2</v>
      </c>
      <c r="BH4">
        <v>2.2275347000000001E-2</v>
      </c>
      <c r="BI4">
        <v>2.1892865000000001E-2</v>
      </c>
      <c r="BJ4">
        <v>2.3451961E-2</v>
      </c>
      <c r="BK4">
        <v>2.0343070000000001E-2</v>
      </c>
      <c r="BL4">
        <v>2.0376233000000001E-2</v>
      </c>
      <c r="BM4">
        <v>1.9284916999999999E-2</v>
      </c>
    </row>
    <row r="5" spans="1:148" x14ac:dyDescent="0.2">
      <c r="A5">
        <v>4</v>
      </c>
      <c r="B5" t="s">
        <v>148</v>
      </c>
      <c r="C5" t="s">
        <v>149</v>
      </c>
      <c r="D5" t="s">
        <v>150</v>
      </c>
      <c r="E5" t="s">
        <v>151</v>
      </c>
      <c r="F5" t="s">
        <v>157</v>
      </c>
      <c r="G5" t="s">
        <v>158</v>
      </c>
      <c r="H5">
        <v>3.503205882</v>
      </c>
      <c r="I5">
        <v>6.5332102289999998</v>
      </c>
      <c r="J5">
        <f t="shared" si="0"/>
        <v>0.72962155425458974</v>
      </c>
      <c r="K5">
        <f t="shared" si="1"/>
        <v>0.58941204584470297</v>
      </c>
      <c r="L5">
        <v>34</v>
      </c>
      <c r="M5" t="s">
        <v>154</v>
      </c>
      <c r="Q5">
        <v>2.1999999999999999E-2</v>
      </c>
      <c r="R5">
        <v>1.6E-2</v>
      </c>
      <c r="S5">
        <v>0.13400000000000001</v>
      </c>
      <c r="U5">
        <v>0.05</v>
      </c>
      <c r="W5">
        <v>0.215</v>
      </c>
      <c r="X5">
        <v>0.16300000000000001</v>
      </c>
      <c r="Y5">
        <v>0.56066666700000001</v>
      </c>
      <c r="Z5">
        <v>1.089</v>
      </c>
      <c r="AA5">
        <v>0.82666666700000002</v>
      </c>
      <c r="AB5">
        <v>0.65800000000000003</v>
      </c>
      <c r="AC5">
        <v>1.9550000000000001</v>
      </c>
      <c r="AD5">
        <v>1.100666667</v>
      </c>
      <c r="AE5">
        <v>2.3410000000000002</v>
      </c>
      <c r="AG5">
        <v>2.996</v>
      </c>
      <c r="AM5">
        <v>2.91</v>
      </c>
      <c r="AN5">
        <v>5.569</v>
      </c>
      <c r="AO5">
        <v>3.657</v>
      </c>
      <c r="AP5">
        <v>3.71</v>
      </c>
      <c r="AQ5">
        <v>4.9509999999999996</v>
      </c>
      <c r="AR5">
        <v>5.8220000000000001</v>
      </c>
      <c r="AS5">
        <v>7.0529999999999999</v>
      </c>
      <c r="AT5">
        <v>4.8239999999999998</v>
      </c>
      <c r="AU5">
        <v>8.0109999999999992</v>
      </c>
      <c r="AV5">
        <v>5.6959999999999997</v>
      </c>
      <c r="AW5">
        <v>5.7859999999999996</v>
      </c>
      <c r="AX5">
        <v>4.8280000000000003</v>
      </c>
      <c r="AY5">
        <v>4.9420000000000002</v>
      </c>
      <c r="AZ5">
        <v>8.3529999999999998</v>
      </c>
      <c r="BA5">
        <v>6.7869999999999999</v>
      </c>
      <c r="BB5">
        <v>3.8580000000000001</v>
      </c>
      <c r="BC5">
        <v>4.5830000000000002</v>
      </c>
      <c r="BD5">
        <v>5.4320000000000004</v>
      </c>
      <c r="BE5">
        <v>4.2590000000000003</v>
      </c>
      <c r="BF5">
        <v>5.9509999999999996</v>
      </c>
    </row>
    <row r="6" spans="1:148" x14ac:dyDescent="0.2">
      <c r="A6">
        <v>5</v>
      </c>
      <c r="B6" t="s">
        <v>148</v>
      </c>
      <c r="C6" t="s">
        <v>149</v>
      </c>
      <c r="D6" t="s">
        <v>159</v>
      </c>
      <c r="E6" t="s">
        <v>151</v>
      </c>
      <c r="F6" t="s">
        <v>157</v>
      </c>
      <c r="G6" t="s">
        <v>158</v>
      </c>
      <c r="H6">
        <v>0.69298555299999998</v>
      </c>
      <c r="I6">
        <v>4.2952903000000001E-2</v>
      </c>
      <c r="J6">
        <f t="shared" si="0"/>
        <v>0.29906946915821864</v>
      </c>
      <c r="K6">
        <f t="shared" si="1"/>
        <v>0.28652987722527407</v>
      </c>
      <c r="L6">
        <v>30</v>
      </c>
      <c r="M6" t="s">
        <v>154</v>
      </c>
      <c r="O6">
        <v>0.27589657200000001</v>
      </c>
      <c r="Q6">
        <v>0.29065669599999999</v>
      </c>
      <c r="U6">
        <v>0.43450629299999999</v>
      </c>
      <c r="V6">
        <v>0.52183474600000002</v>
      </c>
      <c r="W6">
        <v>0.57895834400000001</v>
      </c>
      <c r="X6">
        <v>0.54179788299999998</v>
      </c>
      <c r="Y6">
        <v>0.57646637499999998</v>
      </c>
      <c r="Z6">
        <v>0.60286481599999997</v>
      </c>
      <c r="AB6">
        <v>0.64914424100000001</v>
      </c>
      <c r="AE6">
        <v>0.81254621100000002</v>
      </c>
      <c r="AF6">
        <v>0.79020064199999995</v>
      </c>
      <c r="AG6">
        <v>0.76785507399999997</v>
      </c>
      <c r="AH6">
        <v>0.95603981299999996</v>
      </c>
      <c r="AI6">
        <v>0.89984728000000003</v>
      </c>
      <c r="AJ6">
        <v>0.80748012000000002</v>
      </c>
      <c r="AK6">
        <v>0.67324240300000004</v>
      </c>
      <c r="AL6">
        <v>0.79543103900000001</v>
      </c>
      <c r="AM6">
        <v>0.79351413999999998</v>
      </c>
      <c r="AN6">
        <v>0.90433830100000001</v>
      </c>
      <c r="AO6">
        <v>0.86463110200000004</v>
      </c>
      <c r="AP6">
        <v>0.881390279</v>
      </c>
      <c r="AQ6">
        <v>0.82087103100000003</v>
      </c>
      <c r="AR6">
        <v>0.85206172000000002</v>
      </c>
      <c r="AS6">
        <v>0.64495444700000004</v>
      </c>
      <c r="AT6">
        <v>0.44556953999999999</v>
      </c>
      <c r="AU6">
        <v>0.42404550000000002</v>
      </c>
      <c r="AV6">
        <v>0.41049028399999998</v>
      </c>
      <c r="BJ6">
        <v>0.739375428</v>
      </c>
      <c r="BK6">
        <v>1.016778135</v>
      </c>
      <c r="BL6">
        <v>1.016778135</v>
      </c>
    </row>
    <row r="7" spans="1:148" x14ac:dyDescent="0.2">
      <c r="A7">
        <v>6</v>
      </c>
      <c r="B7" t="s">
        <v>148</v>
      </c>
      <c r="C7" t="s">
        <v>149</v>
      </c>
      <c r="D7" t="s">
        <v>155</v>
      </c>
      <c r="E7" t="s">
        <v>151</v>
      </c>
      <c r="F7" t="s">
        <v>157</v>
      </c>
      <c r="G7" t="s">
        <v>158</v>
      </c>
      <c r="H7">
        <v>2.3136467629999999</v>
      </c>
      <c r="I7">
        <v>1.2374975560000001</v>
      </c>
      <c r="J7">
        <f t="shared" si="0"/>
        <v>0.48081180427260317</v>
      </c>
      <c r="K7">
        <f t="shared" si="1"/>
        <v>0.43332559992285441</v>
      </c>
      <c r="L7">
        <v>19</v>
      </c>
      <c r="M7" t="s">
        <v>154</v>
      </c>
      <c r="T7">
        <v>0.74587499999999995</v>
      </c>
      <c r="Y7">
        <v>1.188958333</v>
      </c>
      <c r="AC7">
        <v>1.315166667</v>
      </c>
      <c r="AI7">
        <v>1.0307916669999999</v>
      </c>
      <c r="AM7">
        <v>1.775662281</v>
      </c>
      <c r="AN7">
        <v>1.6895695479999999</v>
      </c>
      <c r="AO7">
        <v>2.6688741839999999</v>
      </c>
      <c r="AP7">
        <v>1.474</v>
      </c>
      <c r="AQ7">
        <v>1.421</v>
      </c>
      <c r="AR7">
        <v>3.4329471260000002</v>
      </c>
      <c r="AS7">
        <v>3.02400651</v>
      </c>
      <c r="AT7">
        <v>4.5413909940000003</v>
      </c>
      <c r="AU7">
        <v>4.4230132859999998</v>
      </c>
      <c r="AV7">
        <v>3.7988411069999999</v>
      </c>
      <c r="AW7">
        <v>2.3029802030000002</v>
      </c>
      <c r="AX7">
        <v>2.539735088</v>
      </c>
      <c r="AY7">
        <v>2.4428806949999999</v>
      </c>
      <c r="AZ7">
        <v>2.2168874700000001</v>
      </c>
      <c r="BG7">
        <v>1.9267083330000001</v>
      </c>
    </row>
    <row r="8" spans="1:148" x14ac:dyDescent="0.2">
      <c r="A8">
        <v>7</v>
      </c>
      <c r="B8" t="s">
        <v>148</v>
      </c>
      <c r="C8" t="s">
        <v>149</v>
      </c>
      <c r="D8" t="s">
        <v>156</v>
      </c>
      <c r="E8" t="s">
        <v>151</v>
      </c>
      <c r="F8" t="s">
        <v>157</v>
      </c>
      <c r="G8" t="s">
        <v>158</v>
      </c>
      <c r="H8">
        <v>0.99335388400000002</v>
      </c>
      <c r="I8">
        <v>0.14523159599999999</v>
      </c>
      <c r="J8">
        <f t="shared" si="0"/>
        <v>0.38364236607541286</v>
      </c>
      <c r="K8">
        <f t="shared" si="1"/>
        <v>0.35818756122962903</v>
      </c>
      <c r="L8">
        <v>22</v>
      </c>
      <c r="M8" t="s">
        <v>154</v>
      </c>
      <c r="N8">
        <v>0.61394401200000004</v>
      </c>
      <c r="R8">
        <v>0.85528755000000001</v>
      </c>
      <c r="S8">
        <v>0.94420356900000002</v>
      </c>
      <c r="T8">
        <v>0.99501268799999998</v>
      </c>
      <c r="U8">
        <v>1.0923951999999999</v>
      </c>
      <c r="V8">
        <v>1.1643840000000001</v>
      </c>
      <c r="W8">
        <v>1.2829313250000001</v>
      </c>
      <c r="X8">
        <v>1.2702290249999999</v>
      </c>
      <c r="Y8">
        <v>1.2617696</v>
      </c>
      <c r="Z8">
        <v>1.3422086440000001</v>
      </c>
      <c r="AA8">
        <v>1.5835520999999999</v>
      </c>
      <c r="AC8">
        <v>1.5623815999999999</v>
      </c>
      <c r="AE8">
        <v>1.4</v>
      </c>
      <c r="AK8">
        <v>1.0839287879999999</v>
      </c>
      <c r="AM8">
        <v>0.90186256899999995</v>
      </c>
      <c r="AP8">
        <v>1.4006512</v>
      </c>
      <c r="AS8">
        <v>0.76213743099999998</v>
      </c>
      <c r="AU8">
        <v>0.44458013400000002</v>
      </c>
      <c r="AW8">
        <v>0.42</v>
      </c>
      <c r="AY8">
        <v>0.39800507499999999</v>
      </c>
      <c r="BA8">
        <v>0.44458013400000002</v>
      </c>
      <c r="BD8">
        <v>0.62974079999999999</v>
      </c>
    </row>
    <row r="9" spans="1:148" x14ac:dyDescent="0.2">
      <c r="A9">
        <v>8</v>
      </c>
      <c r="B9" t="s">
        <v>148</v>
      </c>
      <c r="C9" t="s">
        <v>149</v>
      </c>
      <c r="D9" t="s">
        <v>150</v>
      </c>
      <c r="E9" t="s">
        <v>151</v>
      </c>
      <c r="F9" t="s">
        <v>157</v>
      </c>
      <c r="G9" t="s">
        <v>160</v>
      </c>
      <c r="H9">
        <v>3.3445520150000001</v>
      </c>
      <c r="I9">
        <v>0.411294981</v>
      </c>
      <c r="J9">
        <f t="shared" si="0"/>
        <v>0.19175149135752487</v>
      </c>
      <c r="K9">
        <f t="shared" si="1"/>
        <v>0.18832059836503803</v>
      </c>
      <c r="L9">
        <v>35</v>
      </c>
      <c r="M9" t="s">
        <v>154</v>
      </c>
      <c r="Q9">
        <v>4.7029230770000003</v>
      </c>
      <c r="R9">
        <v>3.5073076919999999</v>
      </c>
      <c r="S9">
        <v>3.3296153849999999</v>
      </c>
      <c r="U9">
        <v>2.5875384619999999</v>
      </c>
      <c r="V9">
        <v>4.0962307689999999</v>
      </c>
      <c r="W9">
        <v>2.8112051280000001</v>
      </c>
      <c r="X9">
        <v>4.623384615</v>
      </c>
      <c r="Y9">
        <v>3.7419743589999999</v>
      </c>
      <c r="Z9">
        <v>3.2528269230000002</v>
      </c>
      <c r="AA9">
        <v>3.5087179489999998</v>
      </c>
      <c r="AB9">
        <v>4.1893076919999999</v>
      </c>
      <c r="AC9">
        <v>3.995961538</v>
      </c>
      <c r="AD9">
        <v>3.5318461540000001</v>
      </c>
      <c r="AE9">
        <v>3.0656153850000001</v>
      </c>
      <c r="AG9">
        <v>3.6029230769999998</v>
      </c>
      <c r="AM9">
        <v>3.6359230770000002</v>
      </c>
      <c r="AN9">
        <v>3.1557307689999998</v>
      </c>
      <c r="AO9">
        <v>3.1580576919999999</v>
      </c>
      <c r="AP9">
        <v>2.5194230769999999</v>
      </c>
      <c r="AQ9">
        <v>3.4345384619999999</v>
      </c>
      <c r="AR9">
        <v>2.668346154</v>
      </c>
      <c r="AS9">
        <v>2.8451923080000001</v>
      </c>
      <c r="AT9">
        <v>2.7263076919999998</v>
      </c>
      <c r="AU9">
        <v>3.890192308</v>
      </c>
      <c r="AV9">
        <v>2.6163076919999999</v>
      </c>
      <c r="AW9">
        <v>2.1120000000000001</v>
      </c>
      <c r="AX9">
        <v>3.0486923080000001</v>
      </c>
      <c r="AY9">
        <v>2.064192308</v>
      </c>
      <c r="AZ9">
        <v>3.9769230769999999</v>
      </c>
      <c r="BA9">
        <v>4.2189230770000004</v>
      </c>
      <c r="BB9">
        <v>2.9289615379999998</v>
      </c>
      <c r="BC9">
        <v>3.2741923079999999</v>
      </c>
      <c r="BD9">
        <v>3.077038462</v>
      </c>
      <c r="BE9">
        <v>3.5060384619999998</v>
      </c>
      <c r="BF9">
        <v>3.6549615379999998</v>
      </c>
    </row>
    <row r="10" spans="1:148" x14ac:dyDescent="0.2">
      <c r="A10">
        <v>9</v>
      </c>
      <c r="B10" t="s">
        <v>148</v>
      </c>
      <c r="C10" t="s">
        <v>149</v>
      </c>
      <c r="D10" t="s">
        <v>159</v>
      </c>
      <c r="E10" t="s">
        <v>151</v>
      </c>
      <c r="F10" t="s">
        <v>157</v>
      </c>
      <c r="G10" t="s">
        <v>160</v>
      </c>
      <c r="H10">
        <v>0.28390492699999997</v>
      </c>
      <c r="I10">
        <v>6.2132769999999997E-3</v>
      </c>
      <c r="J10">
        <f t="shared" si="0"/>
        <v>0.27764344747268666</v>
      </c>
      <c r="K10">
        <f t="shared" si="1"/>
        <v>0.26752369935361081</v>
      </c>
      <c r="L10">
        <v>30</v>
      </c>
      <c r="M10" t="s">
        <v>154</v>
      </c>
      <c r="O10">
        <v>0.14771709899999999</v>
      </c>
      <c r="Q10">
        <v>0.16683343</v>
      </c>
      <c r="U10">
        <v>0.170424983</v>
      </c>
      <c r="V10">
        <v>0.225514772</v>
      </c>
      <c r="W10">
        <v>0.234343041</v>
      </c>
      <c r="X10">
        <v>0.19568171000000001</v>
      </c>
      <c r="Y10">
        <v>0.192715783</v>
      </c>
      <c r="Z10">
        <v>0.19116330500000001</v>
      </c>
      <c r="AB10">
        <v>0.18189478100000001</v>
      </c>
      <c r="AE10">
        <v>0.21665174600000001</v>
      </c>
      <c r="AF10">
        <v>0.23209542399999999</v>
      </c>
      <c r="AG10">
        <v>0.248558639</v>
      </c>
      <c r="AH10">
        <v>0.28935172999999997</v>
      </c>
      <c r="AI10">
        <v>0.32578861399999998</v>
      </c>
      <c r="AJ10">
        <v>0.30091421299999999</v>
      </c>
      <c r="AK10">
        <v>0.35075570099999998</v>
      </c>
      <c r="AL10">
        <v>0.344244563</v>
      </c>
      <c r="AM10">
        <v>0.384226658</v>
      </c>
      <c r="AN10">
        <v>0.37306967200000002</v>
      </c>
      <c r="AO10">
        <v>0.35074411500000002</v>
      </c>
      <c r="AP10">
        <v>0.36608352199999999</v>
      </c>
      <c r="AQ10">
        <v>0.36969824600000001</v>
      </c>
      <c r="AR10">
        <v>0.37888567099999998</v>
      </c>
      <c r="AS10">
        <v>0.35958396999999998</v>
      </c>
      <c r="AT10">
        <v>0.337130971</v>
      </c>
      <c r="AU10">
        <v>0.36187792899999999</v>
      </c>
      <c r="AV10">
        <v>0.325661172</v>
      </c>
      <c r="BJ10">
        <v>0.20618989900000001</v>
      </c>
      <c r="BK10">
        <v>0.34756964600000001</v>
      </c>
      <c r="BL10">
        <v>0.34177681799999998</v>
      </c>
    </row>
    <row r="11" spans="1:148" x14ac:dyDescent="0.2">
      <c r="A11">
        <v>10</v>
      </c>
      <c r="B11" t="s">
        <v>148</v>
      </c>
      <c r="C11" t="s">
        <v>149</v>
      </c>
      <c r="D11" t="s">
        <v>155</v>
      </c>
      <c r="E11" t="s">
        <v>151</v>
      </c>
      <c r="F11" t="s">
        <v>157</v>
      </c>
      <c r="G11" t="s">
        <v>160</v>
      </c>
      <c r="H11">
        <v>0.52082699200000004</v>
      </c>
      <c r="I11">
        <v>2.8292009E-2</v>
      </c>
      <c r="J11">
        <f t="shared" si="0"/>
        <v>0.32295232109158922</v>
      </c>
      <c r="K11">
        <f t="shared" si="1"/>
        <v>0.3073231158717975</v>
      </c>
      <c r="L11">
        <v>19</v>
      </c>
      <c r="M11" t="s">
        <v>154</v>
      </c>
      <c r="T11">
        <v>0.62791666700000004</v>
      </c>
      <c r="Y11">
        <v>0.51470833299999996</v>
      </c>
      <c r="AC11">
        <v>0.40150000000000002</v>
      </c>
      <c r="AI11">
        <v>0.40929166700000003</v>
      </c>
      <c r="AM11">
        <v>0.33147321899999999</v>
      </c>
      <c r="AN11">
        <v>0.22098214199999999</v>
      </c>
      <c r="AO11">
        <v>0.48084079099999999</v>
      </c>
      <c r="AP11">
        <v>0.38900000000000001</v>
      </c>
      <c r="AQ11">
        <v>0.42599999999999999</v>
      </c>
      <c r="AR11">
        <v>0.50130208300000001</v>
      </c>
      <c r="AS11">
        <v>0.38262647999999999</v>
      </c>
      <c r="AT11">
        <v>0.38058034400000001</v>
      </c>
      <c r="AU11">
        <v>0.54222472600000005</v>
      </c>
      <c r="AV11">
        <v>0.58110120799999998</v>
      </c>
      <c r="AW11">
        <v>0.69159227000000001</v>
      </c>
      <c r="AX11">
        <v>0.62202379299999999</v>
      </c>
      <c r="AY11">
        <v>0.75297620799999998</v>
      </c>
      <c r="AZ11">
        <v>0.78776041699999999</v>
      </c>
      <c r="BG11">
        <v>0.85181249999999997</v>
      </c>
    </row>
    <row r="12" spans="1:148" x14ac:dyDescent="0.2">
      <c r="A12">
        <v>11</v>
      </c>
      <c r="B12" t="s">
        <v>148</v>
      </c>
      <c r="C12" t="s">
        <v>149</v>
      </c>
      <c r="D12" t="s">
        <v>156</v>
      </c>
      <c r="E12" t="s">
        <v>151</v>
      </c>
      <c r="F12" t="s">
        <v>157</v>
      </c>
      <c r="G12" t="s">
        <v>160</v>
      </c>
      <c r="H12">
        <v>0.20173291900000001</v>
      </c>
      <c r="I12">
        <v>1.557445E-3</v>
      </c>
      <c r="J12">
        <f t="shared" si="0"/>
        <v>0.19562735667501463</v>
      </c>
      <c r="K12">
        <f t="shared" si="1"/>
        <v>0.19198814871404618</v>
      </c>
      <c r="L12">
        <v>10</v>
      </c>
      <c r="M12" t="s">
        <v>154</v>
      </c>
      <c r="N12">
        <v>0.176355448</v>
      </c>
      <c r="S12">
        <v>0.26575472</v>
      </c>
      <c r="W12">
        <v>0.18469440000000001</v>
      </c>
      <c r="X12">
        <v>0.15391199999999999</v>
      </c>
      <c r="AE12">
        <v>0.21977607499999999</v>
      </c>
      <c r="AK12">
        <v>0.20499999999999999</v>
      </c>
      <c r="AL12">
        <v>0.20521600000000001</v>
      </c>
      <c r="AP12">
        <v>0.26409965299999999</v>
      </c>
      <c r="AW12">
        <v>0.15391199999999999</v>
      </c>
      <c r="BD12">
        <v>0.188608895</v>
      </c>
    </row>
    <row r="13" spans="1:148" x14ac:dyDescent="0.2">
      <c r="A13">
        <v>12</v>
      </c>
      <c r="B13" t="s">
        <v>148</v>
      </c>
      <c r="C13" t="s">
        <v>149</v>
      </c>
      <c r="D13" t="s">
        <v>150</v>
      </c>
      <c r="E13" t="s">
        <v>151</v>
      </c>
      <c r="F13" t="s">
        <v>157</v>
      </c>
      <c r="G13" t="s">
        <v>161</v>
      </c>
      <c r="H13">
        <v>7.0107882229999996</v>
      </c>
      <c r="I13">
        <v>5.8690210049999996</v>
      </c>
      <c r="J13">
        <f t="shared" si="0"/>
        <v>0.3455540468765832</v>
      </c>
      <c r="K13">
        <f t="shared" si="1"/>
        <v>0.32660426974951556</v>
      </c>
      <c r="L13">
        <v>35</v>
      </c>
      <c r="M13" t="s">
        <v>154</v>
      </c>
      <c r="Q13">
        <v>10.958615379999999</v>
      </c>
      <c r="R13">
        <v>7.1168307689999999</v>
      </c>
      <c r="S13">
        <v>7.4879692310000001</v>
      </c>
      <c r="U13">
        <v>9.0383499999999994</v>
      </c>
      <c r="V13">
        <v>10.24705769</v>
      </c>
      <c r="W13">
        <v>9.6358076920000002</v>
      </c>
      <c r="X13">
        <v>10.23451923</v>
      </c>
      <c r="Y13">
        <v>9.4222358970000002</v>
      </c>
      <c r="Z13">
        <v>9.1035500000000003</v>
      </c>
      <c r="AA13">
        <v>9.4682102560000008</v>
      </c>
      <c r="AB13">
        <v>10.43325385</v>
      </c>
      <c r="AC13">
        <v>8.8706480770000002</v>
      </c>
      <c r="AD13">
        <v>8.3420474359999996</v>
      </c>
      <c r="AE13">
        <v>7.3108634620000004</v>
      </c>
      <c r="AG13">
        <v>11.566730769999999</v>
      </c>
      <c r="AM13">
        <v>7.4271576919999998</v>
      </c>
      <c r="AN13">
        <v>5.1489192309999998</v>
      </c>
      <c r="AO13">
        <v>4.9849788459999997</v>
      </c>
      <c r="AP13">
        <v>5.179951923</v>
      </c>
      <c r="AQ13">
        <v>5.8491923080000001</v>
      </c>
      <c r="AR13">
        <v>5.1297980770000002</v>
      </c>
      <c r="AS13">
        <v>5.5796153850000003</v>
      </c>
      <c r="AT13">
        <v>3.4556</v>
      </c>
      <c r="AU13">
        <v>5.932886538</v>
      </c>
      <c r="AV13">
        <v>3.542428846</v>
      </c>
      <c r="AW13">
        <v>3.3079596150000001</v>
      </c>
      <c r="AX13">
        <v>4.6285730770000004</v>
      </c>
      <c r="AY13">
        <v>3.6474384620000002</v>
      </c>
      <c r="AZ13">
        <v>8.4706711539999997</v>
      </c>
      <c r="BA13">
        <v>7.2647846149999999</v>
      </c>
      <c r="BB13">
        <v>7.215571154</v>
      </c>
      <c r="BC13">
        <v>5.7404211539999999</v>
      </c>
      <c r="BD13">
        <v>5.2125519230000004</v>
      </c>
      <c r="BE13">
        <v>3.7066826919999998</v>
      </c>
      <c r="BF13">
        <v>4.7157153850000002</v>
      </c>
    </row>
    <row r="14" spans="1:148" x14ac:dyDescent="0.2">
      <c r="A14">
        <v>13</v>
      </c>
      <c r="B14" t="s">
        <v>148</v>
      </c>
      <c r="C14" t="s">
        <v>149</v>
      </c>
      <c r="D14" t="s">
        <v>159</v>
      </c>
      <c r="E14" t="s">
        <v>151</v>
      </c>
      <c r="F14" t="s">
        <v>157</v>
      </c>
      <c r="G14" t="s">
        <v>161</v>
      </c>
      <c r="H14">
        <v>0.101222122</v>
      </c>
      <c r="I14">
        <v>4.0424699999999999E-4</v>
      </c>
      <c r="J14">
        <f t="shared" si="0"/>
        <v>0.19863142819743485</v>
      </c>
      <c r="K14">
        <f t="shared" si="1"/>
        <v>0.19482524679297802</v>
      </c>
      <c r="L14">
        <v>30</v>
      </c>
      <c r="M14" t="s">
        <v>154</v>
      </c>
      <c r="O14">
        <v>0.124895992</v>
      </c>
      <c r="Q14">
        <v>0.111891358</v>
      </c>
      <c r="U14">
        <v>0.121402338</v>
      </c>
      <c r="V14">
        <v>0.13796071400000001</v>
      </c>
      <c r="W14">
        <v>0.119745642</v>
      </c>
      <c r="X14">
        <v>0.107788246</v>
      </c>
      <c r="Y14">
        <v>8.3581600000000006E-2</v>
      </c>
      <c r="Z14">
        <v>8.6697562000000006E-2</v>
      </c>
      <c r="AB14">
        <v>8.0345463000000006E-2</v>
      </c>
      <c r="AE14">
        <v>6.5332191999999997E-2</v>
      </c>
      <c r="AF14">
        <v>6.3623993000000004E-2</v>
      </c>
      <c r="AG14">
        <v>7.3547001000000001E-2</v>
      </c>
      <c r="AH14">
        <v>8.3221075000000005E-2</v>
      </c>
      <c r="AI14">
        <v>9.9487597999999997E-2</v>
      </c>
      <c r="AJ14">
        <v>9.6234293999999998E-2</v>
      </c>
      <c r="AK14">
        <v>0.10236321</v>
      </c>
      <c r="AL14">
        <v>0.10495555299999999</v>
      </c>
      <c r="AM14">
        <v>0.11524767</v>
      </c>
      <c r="AN14">
        <v>0.12533377200000001</v>
      </c>
      <c r="AO14">
        <v>0.122629838</v>
      </c>
      <c r="AP14">
        <v>0.117642583</v>
      </c>
      <c r="AQ14">
        <v>0.122689926</v>
      </c>
      <c r="AR14">
        <v>0.118749908</v>
      </c>
      <c r="AS14">
        <v>0.119831481</v>
      </c>
      <c r="AT14">
        <v>0.106045711</v>
      </c>
      <c r="AU14">
        <v>9.5427405000000007E-2</v>
      </c>
      <c r="AV14">
        <v>7.7950549999999993E-2</v>
      </c>
      <c r="BJ14">
        <v>8.2508609999999996E-2</v>
      </c>
      <c r="BK14">
        <v>8.5839170000000006E-2</v>
      </c>
      <c r="BL14">
        <v>8.3693191E-2</v>
      </c>
    </row>
    <row r="15" spans="1:148" x14ac:dyDescent="0.2">
      <c r="A15">
        <v>14</v>
      </c>
      <c r="B15" t="s">
        <v>148</v>
      </c>
      <c r="C15" t="s">
        <v>149</v>
      </c>
      <c r="D15" t="s">
        <v>155</v>
      </c>
      <c r="E15" t="s">
        <v>151</v>
      </c>
      <c r="F15" t="s">
        <v>157</v>
      </c>
      <c r="G15" t="s">
        <v>161</v>
      </c>
      <c r="H15">
        <v>0.42133572699999999</v>
      </c>
      <c r="I15">
        <v>8.5066130000000004E-2</v>
      </c>
      <c r="J15">
        <f t="shared" si="0"/>
        <v>0.69222941710461594</v>
      </c>
      <c r="K15">
        <f t="shared" si="1"/>
        <v>0.56916647093138018</v>
      </c>
      <c r="L15">
        <v>19</v>
      </c>
      <c r="M15" t="s">
        <v>154</v>
      </c>
      <c r="T15">
        <v>1.4928083329999999</v>
      </c>
      <c r="Y15">
        <v>0.61651354199999997</v>
      </c>
      <c r="AC15">
        <v>0.47270000000000001</v>
      </c>
      <c r="AI15">
        <v>0.27574166700000002</v>
      </c>
      <c r="AM15">
        <v>0.26037249499999998</v>
      </c>
      <c r="AN15">
        <v>0.13871372800000001</v>
      </c>
      <c r="AO15">
        <v>0.22512555200000001</v>
      </c>
      <c r="AP15">
        <v>0.25600000000000001</v>
      </c>
      <c r="AQ15">
        <v>0.246</v>
      </c>
      <c r="AR15">
        <v>0.18078265099999999</v>
      </c>
      <c r="AS15">
        <v>0.31722238000000003</v>
      </c>
      <c r="AT15">
        <v>0.30698940699999999</v>
      </c>
      <c r="AU15">
        <v>0.44115514700000003</v>
      </c>
      <c r="AV15">
        <v>0.48322405800000001</v>
      </c>
      <c r="AW15">
        <v>0.46389508299999999</v>
      </c>
      <c r="AX15">
        <v>0.40136022500000001</v>
      </c>
      <c r="AY15">
        <v>0.40590820300000002</v>
      </c>
      <c r="AZ15">
        <v>0.42523717799999999</v>
      </c>
      <c r="BG15">
        <v>0.59562916700000001</v>
      </c>
    </row>
    <row r="16" spans="1:148" x14ac:dyDescent="0.2">
      <c r="A16">
        <v>15</v>
      </c>
      <c r="B16" t="s">
        <v>148</v>
      </c>
      <c r="C16" t="s">
        <v>149</v>
      </c>
      <c r="D16" t="s">
        <v>156</v>
      </c>
      <c r="E16" t="s">
        <v>151</v>
      </c>
      <c r="F16" t="s">
        <v>157</v>
      </c>
      <c r="G16" t="s">
        <v>161</v>
      </c>
      <c r="H16">
        <v>0.156179604</v>
      </c>
      <c r="I16">
        <v>3.2374389999999999E-3</v>
      </c>
      <c r="J16">
        <f t="shared" si="0"/>
        <v>0.36431451922463909</v>
      </c>
      <c r="K16">
        <f t="shared" si="1"/>
        <v>0.34230577304972426</v>
      </c>
      <c r="L16">
        <v>39</v>
      </c>
      <c r="M16" t="s">
        <v>154</v>
      </c>
      <c r="N16">
        <v>4.1897733999999999E-2</v>
      </c>
      <c r="O16">
        <v>4.8806448000000002E-2</v>
      </c>
      <c r="P16">
        <v>5.6655055000000003E-2</v>
      </c>
      <c r="Q16">
        <v>6.4099101000000006E-2</v>
      </c>
      <c r="R16">
        <v>6.9859358999999996E-2</v>
      </c>
      <c r="S16">
        <v>7.3374408000000002E-2</v>
      </c>
      <c r="T16">
        <v>7.6885958000000004E-2</v>
      </c>
      <c r="U16">
        <v>8.2719237000000001E-2</v>
      </c>
      <c r="V16">
        <v>9.0727726999999994E-2</v>
      </c>
      <c r="W16">
        <v>0.100146851</v>
      </c>
      <c r="X16">
        <v>0.110212507</v>
      </c>
      <c r="Y16">
        <v>0.122977251</v>
      </c>
      <c r="Z16">
        <v>0.14272675400000001</v>
      </c>
      <c r="AA16">
        <v>0.16829760399999999</v>
      </c>
      <c r="AB16">
        <v>0.19438628599999999</v>
      </c>
      <c r="AC16">
        <v>0.212507364</v>
      </c>
      <c r="AD16">
        <v>0.22908671999999999</v>
      </c>
      <c r="AE16">
        <v>0.19869041200000001</v>
      </c>
      <c r="AF16">
        <v>0.205773487</v>
      </c>
      <c r="AG16">
        <v>0.212856403</v>
      </c>
      <c r="AH16">
        <v>0.202573909</v>
      </c>
      <c r="AI16">
        <v>0.19229141599999999</v>
      </c>
      <c r="AJ16">
        <v>0.20921837900000001</v>
      </c>
      <c r="AK16">
        <v>0.21284049399999999</v>
      </c>
      <c r="AL16">
        <v>0.193285716</v>
      </c>
      <c r="AM16">
        <v>0.18236893800000001</v>
      </c>
      <c r="AN16">
        <v>0.18476941699999999</v>
      </c>
      <c r="AO16">
        <v>0.187169736</v>
      </c>
      <c r="AP16">
        <v>0.18957021499999999</v>
      </c>
      <c r="AQ16">
        <v>0.191970535</v>
      </c>
      <c r="AR16">
        <v>0.19437101400000001</v>
      </c>
      <c r="AS16">
        <v>0.19339166799999999</v>
      </c>
      <c r="AT16">
        <v>0.192412322</v>
      </c>
      <c r="AU16">
        <v>0.14591614999999999</v>
      </c>
      <c r="AW16">
        <v>0.15</v>
      </c>
      <c r="AZ16">
        <v>0.20712088300000001</v>
      </c>
      <c r="BA16">
        <v>0.19809381200000001</v>
      </c>
      <c r="BD16">
        <v>0.188063751</v>
      </c>
      <c r="BG16">
        <v>0.17288951999999999</v>
      </c>
    </row>
    <row r="17" spans="1:64" x14ac:dyDescent="0.2">
      <c r="A17">
        <v>16</v>
      </c>
      <c r="B17" t="s">
        <v>148</v>
      </c>
      <c r="C17" t="s">
        <v>149</v>
      </c>
      <c r="D17" t="s">
        <v>150</v>
      </c>
      <c r="E17" t="s">
        <v>151</v>
      </c>
      <c r="F17" t="s">
        <v>157</v>
      </c>
      <c r="G17" t="s">
        <v>162</v>
      </c>
      <c r="H17">
        <v>0.31609024499999999</v>
      </c>
      <c r="I17">
        <v>4.8350129999999998E-2</v>
      </c>
      <c r="J17">
        <f t="shared" si="0"/>
        <v>0.69564509932926322</v>
      </c>
      <c r="K17">
        <f t="shared" si="1"/>
        <v>0.57106057454775583</v>
      </c>
      <c r="L17">
        <v>22</v>
      </c>
      <c r="M17" t="s">
        <v>154</v>
      </c>
      <c r="Q17">
        <v>0.30619230800000002</v>
      </c>
      <c r="R17">
        <v>0.39023076899999998</v>
      </c>
      <c r="S17">
        <v>0.59046153800000001</v>
      </c>
      <c r="U17">
        <v>0.41507692299999999</v>
      </c>
      <c r="V17">
        <v>0.47719230800000001</v>
      </c>
      <c r="W17">
        <v>0.70738461500000005</v>
      </c>
      <c r="X17">
        <v>0.58461538499999999</v>
      </c>
      <c r="Y17">
        <v>0.52615384600000004</v>
      </c>
      <c r="Z17">
        <v>0.43078846199999998</v>
      </c>
      <c r="AA17">
        <v>0.392174615</v>
      </c>
      <c r="AB17">
        <v>8.0384615000000006E-2</v>
      </c>
      <c r="AC17">
        <v>0.46403846199999998</v>
      </c>
      <c r="AD17">
        <v>0.34734923099999998</v>
      </c>
      <c r="AE17">
        <v>0.41507692299999999</v>
      </c>
      <c r="AG17">
        <v>0.47499999999999998</v>
      </c>
      <c r="AM17">
        <v>8.6230768999999999E-2</v>
      </c>
      <c r="AN17">
        <v>5.1884615000000002E-2</v>
      </c>
      <c r="AO17">
        <v>5.3711538000000003E-2</v>
      </c>
      <c r="AP17">
        <v>3.0692308000000001E-2</v>
      </c>
      <c r="AQ17">
        <v>5.7000000000000002E-2</v>
      </c>
      <c r="AR17">
        <v>4.6038462000000002E-2</v>
      </c>
      <c r="AS17">
        <v>2.6307692000000001E-2</v>
      </c>
    </row>
    <row r="18" spans="1:64" x14ac:dyDescent="0.2">
      <c r="A18">
        <v>17</v>
      </c>
      <c r="B18" t="s">
        <v>148</v>
      </c>
      <c r="C18" t="s">
        <v>149</v>
      </c>
      <c r="D18" t="s">
        <v>159</v>
      </c>
      <c r="E18" t="s">
        <v>151</v>
      </c>
      <c r="F18" t="s">
        <v>157</v>
      </c>
      <c r="G18" t="s">
        <v>163</v>
      </c>
      <c r="H18">
        <v>3.0732740000000001E-2</v>
      </c>
      <c r="I18">
        <v>1.07304E-4</v>
      </c>
      <c r="J18">
        <f t="shared" si="0"/>
        <v>0.33705957897285749</v>
      </c>
      <c r="K18">
        <f t="shared" si="1"/>
        <v>0.3194039456301862</v>
      </c>
      <c r="L18">
        <v>30</v>
      </c>
      <c r="M18" t="s">
        <v>154</v>
      </c>
      <c r="O18">
        <v>3.0807309000000001E-2</v>
      </c>
      <c r="Q18">
        <v>3.8722418000000002E-2</v>
      </c>
      <c r="U18">
        <v>3.0191163E-2</v>
      </c>
      <c r="V18">
        <v>3.0589288999999999E-2</v>
      </c>
      <c r="W18">
        <v>3.1347621999999999E-2</v>
      </c>
      <c r="X18">
        <v>2.3603138999999999E-2</v>
      </c>
      <c r="Y18">
        <v>2.1091157999999999E-2</v>
      </c>
      <c r="Z18">
        <v>2.9385433999999998E-2</v>
      </c>
      <c r="AB18">
        <v>3.0522934000000002E-2</v>
      </c>
      <c r="AE18">
        <v>2.3622097000000002E-2</v>
      </c>
      <c r="AF18">
        <v>2.4693243E-2</v>
      </c>
      <c r="AG18">
        <v>2.5840222999999999E-2</v>
      </c>
      <c r="AH18">
        <v>3.6750749999999999E-2</v>
      </c>
      <c r="AI18">
        <v>3.8855127000000003E-2</v>
      </c>
      <c r="AJ18">
        <v>2.8579704000000001E-2</v>
      </c>
      <c r="AK18">
        <v>3.0883142999999998E-2</v>
      </c>
      <c r="AL18">
        <v>4.7793985999999997E-2</v>
      </c>
      <c r="AM18">
        <v>3.8722418000000002E-2</v>
      </c>
      <c r="AN18">
        <v>3.8077834999999997E-2</v>
      </c>
      <c r="AO18">
        <v>3.5982937E-2</v>
      </c>
      <c r="AP18">
        <v>2.9878351000000001E-2</v>
      </c>
      <c r="AQ18">
        <v>3.0361788000000001E-2</v>
      </c>
      <c r="AR18">
        <v>2.4437305999999999E-2</v>
      </c>
      <c r="AS18">
        <v>1.9271157000000001E-2</v>
      </c>
      <c r="AT18">
        <v>1.3450945000000001E-2</v>
      </c>
      <c r="AU18">
        <v>1.2958028E-2</v>
      </c>
      <c r="AV18">
        <v>9.1094839999999993E-3</v>
      </c>
      <c r="BJ18">
        <v>4.7395860999999997E-2</v>
      </c>
      <c r="BK18">
        <v>4.7395860999999997E-2</v>
      </c>
      <c r="BL18">
        <v>5.1661487999999998E-2</v>
      </c>
    </row>
    <row r="19" spans="1:64" x14ac:dyDescent="0.2">
      <c r="A19">
        <v>18</v>
      </c>
      <c r="B19" t="s">
        <v>148</v>
      </c>
      <c r="C19" t="s">
        <v>149</v>
      </c>
      <c r="D19" t="s">
        <v>155</v>
      </c>
      <c r="E19" t="s">
        <v>151</v>
      </c>
      <c r="F19" t="s">
        <v>157</v>
      </c>
      <c r="G19" t="s">
        <v>164</v>
      </c>
      <c r="H19">
        <v>0.27449825900000002</v>
      </c>
      <c r="I19">
        <v>7.8757440000000005E-3</v>
      </c>
      <c r="J19">
        <f t="shared" si="0"/>
        <v>0.32330036968501191</v>
      </c>
      <c r="K19">
        <f t="shared" si="1"/>
        <v>0.30762299346025734</v>
      </c>
      <c r="L19">
        <v>19</v>
      </c>
      <c r="M19" t="s">
        <v>154</v>
      </c>
      <c r="T19">
        <v>0.10040625</v>
      </c>
      <c r="Y19">
        <v>0.39524999999999999</v>
      </c>
      <c r="AC19">
        <v>0.33681250000000001</v>
      </c>
      <c r="AI19">
        <v>0.29077083300000001</v>
      </c>
      <c r="AM19">
        <v>0.14825105499999999</v>
      </c>
      <c r="AN19">
        <v>0.104286952</v>
      </c>
      <c r="AO19">
        <v>0.39669939300000001</v>
      </c>
      <c r="AP19">
        <v>0.28014338300000002</v>
      </c>
      <c r="AQ19">
        <v>0.33944380400000002</v>
      </c>
      <c r="AR19">
        <v>0.31081600999999998</v>
      </c>
      <c r="AS19">
        <v>0.31081600999999998</v>
      </c>
      <c r="AT19">
        <v>0.38852001200000003</v>
      </c>
      <c r="AU19">
        <v>0.332286845</v>
      </c>
      <c r="AV19">
        <v>0.28832275200000002</v>
      </c>
      <c r="AW19">
        <v>0.23413443</v>
      </c>
      <c r="AX19">
        <v>0.22595507000000001</v>
      </c>
      <c r="AY19">
        <v>0.274008855</v>
      </c>
      <c r="AZ19">
        <v>0.255605266</v>
      </c>
      <c r="BG19">
        <v>0.20293749999999999</v>
      </c>
    </row>
    <row r="20" spans="1:64" x14ac:dyDescent="0.2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157</v>
      </c>
      <c r="G20" t="s">
        <v>165</v>
      </c>
      <c r="H20">
        <v>0.22911959100000001</v>
      </c>
      <c r="I20">
        <v>6.1239069999999996E-3</v>
      </c>
      <c r="J20">
        <f t="shared" si="0"/>
        <v>0.34154825276414541</v>
      </c>
      <c r="K20">
        <f t="shared" si="1"/>
        <v>0.3232157533670057</v>
      </c>
      <c r="L20">
        <v>32</v>
      </c>
      <c r="M20" t="s">
        <v>154</v>
      </c>
      <c r="R20">
        <v>0.22032692300000001</v>
      </c>
      <c r="U20">
        <v>0.238153846</v>
      </c>
      <c r="V20">
        <v>0.29466346199999999</v>
      </c>
      <c r="W20">
        <v>0.27657692299999997</v>
      </c>
      <c r="X20">
        <v>0.21773076899999999</v>
      </c>
      <c r="Y20">
        <v>0.23792307700000001</v>
      </c>
      <c r="Z20">
        <v>0.28999038500000002</v>
      </c>
      <c r="AA20">
        <v>0.260365385</v>
      </c>
      <c r="AB20">
        <v>0.35255769199999998</v>
      </c>
      <c r="AC20">
        <v>0.32850000000000001</v>
      </c>
      <c r="AD20">
        <v>0.24100961500000001</v>
      </c>
      <c r="AE20">
        <v>0.238153846</v>
      </c>
      <c r="AM20">
        <v>0.36969230800000003</v>
      </c>
      <c r="AN20">
        <v>0.40872115399999998</v>
      </c>
      <c r="AO20">
        <v>0.17959615400000001</v>
      </c>
      <c r="AP20">
        <v>0.150663462</v>
      </c>
      <c r="AQ20">
        <v>0.142269231</v>
      </c>
      <c r="AR20">
        <v>0.15403846199999999</v>
      </c>
      <c r="AS20">
        <v>0.192115385</v>
      </c>
      <c r="AT20">
        <v>0.13093269199999999</v>
      </c>
      <c r="AU20">
        <v>0.18614423099999999</v>
      </c>
      <c r="AV20">
        <v>0.26402884599999998</v>
      </c>
      <c r="AW20">
        <v>0.26264423100000001</v>
      </c>
      <c r="AX20">
        <v>0.25944230800000001</v>
      </c>
      <c r="AY20">
        <v>0.222923077</v>
      </c>
      <c r="AZ20">
        <v>0.24014423100000001</v>
      </c>
      <c r="BA20">
        <v>0.331961538</v>
      </c>
      <c r="BB20">
        <v>0.14391346199999999</v>
      </c>
      <c r="BC20">
        <v>0.11198076899999999</v>
      </c>
      <c r="BD20">
        <v>0.109125</v>
      </c>
      <c r="BE20">
        <v>0.14720192300000001</v>
      </c>
      <c r="BF20">
        <v>0.128336538</v>
      </c>
    </row>
    <row r="21" spans="1:64" x14ac:dyDescent="0.2">
      <c r="A21">
        <v>20</v>
      </c>
      <c r="B21" t="s">
        <v>148</v>
      </c>
      <c r="C21" t="s">
        <v>149</v>
      </c>
      <c r="D21" t="s">
        <v>159</v>
      </c>
      <c r="E21" t="s">
        <v>151</v>
      </c>
      <c r="F21" t="s">
        <v>157</v>
      </c>
      <c r="G21" t="s">
        <v>164</v>
      </c>
      <c r="H21">
        <v>6.5707251999999994E-2</v>
      </c>
      <c r="I21">
        <v>6.82703E-4</v>
      </c>
      <c r="J21">
        <f t="shared" si="0"/>
        <v>0.39765147807894596</v>
      </c>
      <c r="K21">
        <f t="shared" si="1"/>
        <v>0.36950861163974841</v>
      </c>
      <c r="L21">
        <v>30</v>
      </c>
      <c r="M21" t="s">
        <v>154</v>
      </c>
      <c r="O21">
        <v>5.1477171000000002E-2</v>
      </c>
      <c r="Q21">
        <v>6.1548790999999999E-2</v>
      </c>
      <c r="U21">
        <v>4.7000895000000001E-2</v>
      </c>
      <c r="V21">
        <v>4.9507610000000001E-2</v>
      </c>
      <c r="W21">
        <v>5.8370635999999997E-2</v>
      </c>
      <c r="X21">
        <v>4.4673232E-2</v>
      </c>
      <c r="Y21">
        <v>3.5425246000000001E-2</v>
      </c>
      <c r="Z21">
        <v>6.4458371E-2</v>
      </c>
      <c r="AB21">
        <v>7.7887198000000005E-2</v>
      </c>
      <c r="AE21">
        <v>7.5246195000000002E-2</v>
      </c>
      <c r="AF21">
        <v>8.0340197000000002E-2</v>
      </c>
      <c r="AG21">
        <v>7.6034019999999994E-2</v>
      </c>
      <c r="AH21">
        <v>9.2094896999999995E-2</v>
      </c>
      <c r="AI21">
        <v>9.2990152000000006E-2</v>
      </c>
      <c r="AJ21">
        <v>6.2712622999999995E-2</v>
      </c>
      <c r="AK21">
        <v>7.7538047999999998E-2</v>
      </c>
      <c r="AL21">
        <v>9.3393016999999995E-2</v>
      </c>
      <c r="AM21">
        <v>9.6329453999999995E-2</v>
      </c>
      <c r="AN21">
        <v>7.8657116999999999E-2</v>
      </c>
      <c r="AO21">
        <v>7.3536257999999993E-2</v>
      </c>
      <c r="AP21">
        <v>6.2085943999999997E-2</v>
      </c>
      <c r="AQ21">
        <v>5.3419874999999999E-2</v>
      </c>
      <c r="AR21">
        <v>4.2130707000000003E-2</v>
      </c>
      <c r="AS21">
        <v>3.5514772E-2</v>
      </c>
      <c r="AT21">
        <v>2.7994628000000001E-2</v>
      </c>
      <c r="AU21">
        <v>2.8281110000000002E-2</v>
      </c>
      <c r="AV21">
        <v>2.7752909999999999E-2</v>
      </c>
      <c r="BJ21">
        <v>5.1906893000000003E-2</v>
      </c>
      <c r="BK21">
        <v>0.12533572100000001</v>
      </c>
      <c r="BL21">
        <v>0.12757385900000001</v>
      </c>
    </row>
    <row r="22" spans="1:64" x14ac:dyDescent="0.2">
      <c r="A22">
        <v>21</v>
      </c>
      <c r="B22" t="s">
        <v>148</v>
      </c>
      <c r="C22" t="s">
        <v>149</v>
      </c>
      <c r="D22" t="s">
        <v>155</v>
      </c>
      <c r="E22" t="s">
        <v>151</v>
      </c>
      <c r="F22" t="s">
        <v>157</v>
      </c>
      <c r="G22" t="s">
        <v>166</v>
      </c>
      <c r="H22">
        <v>0.406590803</v>
      </c>
      <c r="I22">
        <v>2.0947840999999998E-2</v>
      </c>
      <c r="J22">
        <f t="shared" si="0"/>
        <v>0.35596892221735116</v>
      </c>
      <c r="K22">
        <f t="shared" si="1"/>
        <v>0.33535536817929329</v>
      </c>
      <c r="L22">
        <v>19</v>
      </c>
      <c r="M22" t="s">
        <v>154</v>
      </c>
      <c r="T22">
        <v>0.21689583300000001</v>
      </c>
      <c r="Y22">
        <v>0.77726041700000004</v>
      </c>
      <c r="AC22">
        <v>0.62307708299999998</v>
      </c>
      <c r="AI22">
        <v>0.57589166700000005</v>
      </c>
      <c r="AM22">
        <v>0.24923506400000001</v>
      </c>
      <c r="AN22">
        <v>0.20095391600000001</v>
      </c>
      <c r="AO22">
        <v>0.36406587699999998</v>
      </c>
      <c r="AP22">
        <v>0.30375069799999999</v>
      </c>
      <c r="AQ22">
        <v>0.34623230100000002</v>
      </c>
      <c r="AR22">
        <v>0.40843233200000001</v>
      </c>
      <c r="AS22">
        <v>0.26619869499999999</v>
      </c>
      <c r="AT22">
        <v>0.51934845100000004</v>
      </c>
      <c r="AU22">
        <v>0.47759180299999998</v>
      </c>
      <c r="AV22">
        <v>0.44627428699999999</v>
      </c>
      <c r="AW22">
        <v>0.357541408</v>
      </c>
      <c r="AX22">
        <v>0.37320015200000001</v>
      </c>
      <c r="AY22">
        <v>0.44627428699999999</v>
      </c>
      <c r="AZ22">
        <v>0.37841973200000001</v>
      </c>
      <c r="BG22">
        <v>0.39458124999999999</v>
      </c>
    </row>
    <row r="23" spans="1:64" x14ac:dyDescent="0.2">
      <c r="A23">
        <v>22</v>
      </c>
      <c r="B23" t="s">
        <v>148</v>
      </c>
      <c r="C23" t="s">
        <v>149</v>
      </c>
      <c r="D23" t="s">
        <v>156</v>
      </c>
      <c r="E23" t="s">
        <v>151</v>
      </c>
      <c r="F23" t="s">
        <v>157</v>
      </c>
      <c r="G23" t="s">
        <v>167</v>
      </c>
      <c r="H23">
        <v>0.204331824</v>
      </c>
      <c r="I23">
        <v>1.1642849E-2</v>
      </c>
      <c r="J23">
        <f t="shared" si="0"/>
        <v>0.52807258389585865</v>
      </c>
      <c r="K23">
        <f t="shared" si="1"/>
        <v>0.46696250252708144</v>
      </c>
      <c r="L23">
        <v>10</v>
      </c>
      <c r="M23" t="s">
        <v>154</v>
      </c>
      <c r="N23">
        <v>8.5868639999999996E-2</v>
      </c>
      <c r="S23">
        <v>0.11663999999999999</v>
      </c>
      <c r="W23">
        <v>0.11700000000000001</v>
      </c>
      <c r="X23">
        <v>0.11663999999999999</v>
      </c>
      <c r="AE23">
        <v>0.23976</v>
      </c>
      <c r="AK23">
        <v>0.27</v>
      </c>
      <c r="AP23">
        <v>0.33681312000000002</v>
      </c>
      <c r="AR23">
        <v>0.41119487999999998</v>
      </c>
      <c r="AW23">
        <v>0.18096480000000001</v>
      </c>
      <c r="BD23">
        <v>0.1684368</v>
      </c>
    </row>
    <row r="24" spans="1:64" x14ac:dyDescent="0.2">
      <c r="A24">
        <v>23</v>
      </c>
      <c r="B24" t="s">
        <v>148</v>
      </c>
      <c r="C24" t="s">
        <v>149</v>
      </c>
      <c r="D24" t="s">
        <v>150</v>
      </c>
      <c r="E24" t="s">
        <v>151</v>
      </c>
      <c r="F24" t="s">
        <v>157</v>
      </c>
      <c r="G24" t="s">
        <v>168</v>
      </c>
      <c r="H24">
        <v>0.17453311299999999</v>
      </c>
      <c r="I24">
        <v>8.4878499999999999E-3</v>
      </c>
      <c r="J24">
        <f t="shared" si="0"/>
        <v>0.52786274649555109</v>
      </c>
      <c r="K24">
        <f t="shared" si="1"/>
        <v>0.46681739013513757</v>
      </c>
      <c r="L24">
        <v>32</v>
      </c>
      <c r="M24" t="s">
        <v>154</v>
      </c>
      <c r="R24">
        <v>8.5084615000000002E-2</v>
      </c>
      <c r="U24">
        <v>0.29554615400000001</v>
      </c>
      <c r="V24">
        <v>0.26241923099999998</v>
      </c>
      <c r="W24">
        <v>0.214569231</v>
      </c>
      <c r="X24">
        <v>0.31036153799999999</v>
      </c>
      <c r="Y24">
        <v>0.20711538500000001</v>
      </c>
      <c r="Z24">
        <v>0.214355769</v>
      </c>
      <c r="AA24">
        <v>0.26981538500000002</v>
      </c>
      <c r="AB24">
        <v>0.31735384599999999</v>
      </c>
      <c r="AC24">
        <v>0.236284615</v>
      </c>
      <c r="AD24">
        <v>0.194919231</v>
      </c>
      <c r="AE24">
        <v>0.21634615400000001</v>
      </c>
      <c r="AM24">
        <v>0.23483076899999999</v>
      </c>
      <c r="AN24">
        <v>0.312196154</v>
      </c>
      <c r="AO24">
        <v>0.41905384600000001</v>
      </c>
      <c r="AP24">
        <v>0.106096154</v>
      </c>
      <c r="AQ24">
        <v>0.114888462</v>
      </c>
      <c r="AR24">
        <v>0.18609230800000001</v>
      </c>
      <c r="AS24">
        <v>8.7300000000000003E-2</v>
      </c>
      <c r="AT24">
        <v>7.0753845999999995E-2</v>
      </c>
      <c r="AU24">
        <v>0.101353846</v>
      </c>
      <c r="AV24">
        <v>8.8026923000000007E-2</v>
      </c>
      <c r="AW24">
        <v>0.101215385</v>
      </c>
      <c r="AX24">
        <v>0.124753846</v>
      </c>
      <c r="AY24">
        <v>8.5569230999999996E-2</v>
      </c>
      <c r="AZ24">
        <v>0.125307692</v>
      </c>
      <c r="BA24">
        <v>0.11135769199999999</v>
      </c>
      <c r="BB24">
        <v>0.113330769</v>
      </c>
      <c r="BC24">
        <v>0.11765769199999999</v>
      </c>
      <c r="BD24">
        <v>8.8996153999999994E-2</v>
      </c>
      <c r="BE24">
        <v>0.101769231</v>
      </c>
      <c r="BF24">
        <v>7.0338462000000004E-2</v>
      </c>
    </row>
    <row r="25" spans="1:64" x14ac:dyDescent="0.2">
      <c r="A25">
        <v>24</v>
      </c>
      <c r="B25" t="s">
        <v>148</v>
      </c>
      <c r="C25" t="s">
        <v>149</v>
      </c>
      <c r="D25" t="s">
        <v>159</v>
      </c>
      <c r="E25" t="s">
        <v>151</v>
      </c>
      <c r="F25" t="s">
        <v>157</v>
      </c>
      <c r="G25" t="s">
        <v>169</v>
      </c>
      <c r="H25">
        <v>0.28867944200000001</v>
      </c>
      <c r="I25">
        <v>4.915862E-3</v>
      </c>
      <c r="J25">
        <f t="shared" si="0"/>
        <v>0.24287565463715682</v>
      </c>
      <c r="K25">
        <f t="shared" si="1"/>
        <v>0.23601431499678391</v>
      </c>
      <c r="L25">
        <v>29</v>
      </c>
      <c r="M25" t="s">
        <v>154</v>
      </c>
      <c r="O25">
        <v>0.41708357499999998</v>
      </c>
      <c r="Q25">
        <v>0.47281057500000001</v>
      </c>
      <c r="U25">
        <v>0.22568855700000001</v>
      </c>
      <c r="V25">
        <v>0.32335562699999998</v>
      </c>
      <c r="W25">
        <v>0.37525936100000001</v>
      </c>
      <c r="X25">
        <v>0.34131339199999999</v>
      </c>
      <c r="Z25">
        <v>0.35706988299999998</v>
      </c>
      <c r="AB25">
        <v>0.35452103800000001</v>
      </c>
      <c r="AE25">
        <v>0.20814787500000001</v>
      </c>
      <c r="AF25">
        <v>0.209978409</v>
      </c>
      <c r="AG25">
        <v>0.21290726200000001</v>
      </c>
      <c r="AH25">
        <v>0.281325188</v>
      </c>
      <c r="AI25">
        <v>0.28798230600000002</v>
      </c>
      <c r="AJ25">
        <v>0.22108905200000001</v>
      </c>
      <c r="AK25">
        <v>0.31757438500000001</v>
      </c>
      <c r="AL25">
        <v>0.31655253</v>
      </c>
      <c r="AM25">
        <v>0.30378977299999999</v>
      </c>
      <c r="AN25">
        <v>0.27887134699999999</v>
      </c>
      <c r="AO25">
        <v>0.278479751</v>
      </c>
      <c r="AP25">
        <v>0.27937184700000001</v>
      </c>
      <c r="AQ25">
        <v>0.26930391300000001</v>
      </c>
      <c r="AR25">
        <v>0.25997746100000002</v>
      </c>
      <c r="AS25">
        <v>0.23499415500000001</v>
      </c>
      <c r="AT25">
        <v>0.22540818400000001</v>
      </c>
      <c r="AU25">
        <v>0.21178808800000001</v>
      </c>
      <c r="AV25">
        <v>0.20287176800000001</v>
      </c>
      <c r="BJ25">
        <v>0.19896971899999999</v>
      </c>
      <c r="BK25">
        <v>0.34756964600000001</v>
      </c>
      <c r="BL25">
        <v>0.35764916499999999</v>
      </c>
    </row>
    <row r="26" spans="1:64" x14ac:dyDescent="0.2">
      <c r="A26">
        <v>25</v>
      </c>
      <c r="B26" t="s">
        <v>148</v>
      </c>
      <c r="C26" t="s">
        <v>149</v>
      </c>
      <c r="D26" t="s">
        <v>155</v>
      </c>
      <c r="E26" t="s">
        <v>151</v>
      </c>
      <c r="F26" t="s">
        <v>157</v>
      </c>
      <c r="G26" t="s">
        <v>169</v>
      </c>
      <c r="H26">
        <v>0.54091357799999995</v>
      </c>
      <c r="I26">
        <v>8.2861923000000004E-2</v>
      </c>
      <c r="J26">
        <f t="shared" si="0"/>
        <v>0.53216905924952007</v>
      </c>
      <c r="K26">
        <f t="shared" si="1"/>
        <v>0.46978785371678816</v>
      </c>
      <c r="L26">
        <v>19</v>
      </c>
      <c r="M26" t="s">
        <v>154</v>
      </c>
      <c r="T26">
        <v>0.22320833300000001</v>
      </c>
      <c r="Y26">
        <v>0.50577083300000003</v>
      </c>
      <c r="AC26">
        <v>0.44861666700000002</v>
      </c>
      <c r="AI26">
        <v>0.50343333300000004</v>
      </c>
      <c r="AM26">
        <v>0.168766155</v>
      </c>
      <c r="AN26">
        <v>0.225021525</v>
      </c>
      <c r="AO26">
        <v>0.27831611299999998</v>
      </c>
      <c r="AP26">
        <v>0.27765814900000002</v>
      </c>
      <c r="AQ26">
        <v>0.32963681</v>
      </c>
      <c r="AR26">
        <v>0.38786606099999998</v>
      </c>
      <c r="AS26">
        <v>0.32272825500000002</v>
      </c>
      <c r="AT26">
        <v>0.50333763799999998</v>
      </c>
      <c r="AU26">
        <v>0.92377262400000004</v>
      </c>
      <c r="AV26">
        <v>1.0392441569999999</v>
      </c>
      <c r="AW26">
        <v>0.75204568699999996</v>
      </c>
      <c r="AX26">
        <v>0.778692936</v>
      </c>
      <c r="AY26">
        <v>0.76684967400000004</v>
      </c>
      <c r="AZ26">
        <v>0.76388885900000003</v>
      </c>
      <c r="BG26">
        <v>1.078504167</v>
      </c>
    </row>
    <row r="27" spans="1:64" x14ac:dyDescent="0.2">
      <c r="A27">
        <v>26</v>
      </c>
      <c r="B27" t="s">
        <v>170</v>
      </c>
      <c r="C27" t="s">
        <v>149</v>
      </c>
      <c r="D27" t="s">
        <v>171</v>
      </c>
      <c r="E27" t="s">
        <v>151</v>
      </c>
      <c r="F27" t="s">
        <v>152</v>
      </c>
      <c r="G27" t="s">
        <v>153</v>
      </c>
      <c r="H27">
        <v>1.6682321999999999E-2</v>
      </c>
      <c r="I27">
        <v>1.8567099999999999E-4</v>
      </c>
      <c r="J27">
        <f t="shared" si="0"/>
        <v>0.8167996417588721</v>
      </c>
      <c r="K27">
        <f t="shared" si="1"/>
        <v>0.63259635061603647</v>
      </c>
      <c r="L27">
        <v>46</v>
      </c>
      <c r="M27" t="s">
        <v>154</v>
      </c>
      <c r="N27">
        <v>1.1307691999999999E-2</v>
      </c>
      <c r="O27">
        <v>3.57568E-4</v>
      </c>
      <c r="P27">
        <v>1.547912E-3</v>
      </c>
      <c r="Q27">
        <v>3.2416390000000002E-3</v>
      </c>
      <c r="R27">
        <v>1.3125E-2</v>
      </c>
      <c r="S27">
        <v>1.23375E-2</v>
      </c>
      <c r="T27">
        <v>4.3328749999999999E-3</v>
      </c>
      <c r="U27">
        <v>4.3000479999999999E-3</v>
      </c>
      <c r="V27">
        <v>1.9708030000000001E-3</v>
      </c>
      <c r="W27">
        <v>5.6363230000000004E-3</v>
      </c>
      <c r="X27">
        <v>1.1533981E-2</v>
      </c>
      <c r="Y27">
        <v>7.4316709999999999E-3</v>
      </c>
      <c r="Z27">
        <v>9.9531310000000005E-3</v>
      </c>
      <c r="AA27">
        <v>1.1280215E-2</v>
      </c>
      <c r="AB27">
        <v>1.2600663999999999E-2</v>
      </c>
      <c r="AC27">
        <v>1.1943756999999999E-2</v>
      </c>
      <c r="AD27">
        <v>5.2499999999999998E-2</v>
      </c>
      <c r="AE27">
        <v>4.2381818000000002E-2</v>
      </c>
      <c r="AF27">
        <v>4.1270659000000001E-2</v>
      </c>
      <c r="AG27">
        <v>4.7208E-2</v>
      </c>
      <c r="AH27">
        <v>3.1063169999999999E-3</v>
      </c>
      <c r="AI27">
        <v>3.8828970000000002E-3</v>
      </c>
      <c r="AJ27">
        <v>2.5819671999999998E-2</v>
      </c>
      <c r="AK27">
        <v>3.0450000000000001E-2</v>
      </c>
      <c r="AL27">
        <v>2.3692307999999999E-2</v>
      </c>
      <c r="AM27">
        <v>1.4538462E-2</v>
      </c>
      <c r="AN27">
        <v>4.5164880999999997E-2</v>
      </c>
      <c r="AO27">
        <v>4.3941265E-2</v>
      </c>
      <c r="AP27">
        <v>2.6154515E-2</v>
      </c>
      <c r="AQ27">
        <v>2.9076923000000001E-2</v>
      </c>
      <c r="AR27">
        <v>1.2352940999999999E-2</v>
      </c>
      <c r="AS27">
        <v>4.4887499999999997E-3</v>
      </c>
      <c r="AT27">
        <v>1.512E-2</v>
      </c>
      <c r="AU27">
        <v>1.2740141999999999E-2</v>
      </c>
      <c r="AV27">
        <v>2.6249999999999999E-2</v>
      </c>
      <c r="AW27">
        <v>2.1420000000000002E-2</v>
      </c>
      <c r="AX27">
        <v>2.1420000000000002E-2</v>
      </c>
      <c r="AY27">
        <v>1.6173841000000001E-2</v>
      </c>
      <c r="AZ27">
        <v>1.2096000000000001E-2</v>
      </c>
      <c r="BA27">
        <v>1.1501279999999999E-2</v>
      </c>
      <c r="BB27">
        <v>1.17684E-2</v>
      </c>
      <c r="BC27">
        <v>1.4112E-2</v>
      </c>
      <c r="BD27">
        <v>1.512E-2</v>
      </c>
      <c r="BE27">
        <v>4.4919790000000001E-3</v>
      </c>
      <c r="BF27">
        <v>1.1229949999999999E-3</v>
      </c>
      <c r="BG27">
        <v>1.512E-2</v>
      </c>
    </row>
    <row r="28" spans="1:64" x14ac:dyDescent="0.2">
      <c r="A28">
        <v>27</v>
      </c>
      <c r="B28" t="s">
        <v>170</v>
      </c>
      <c r="C28" t="s">
        <v>149</v>
      </c>
      <c r="D28" t="s">
        <v>171</v>
      </c>
      <c r="E28" t="s">
        <v>151</v>
      </c>
      <c r="F28" t="s">
        <v>152</v>
      </c>
      <c r="G28" t="s">
        <v>172</v>
      </c>
      <c r="H28">
        <v>1.5202561E-2</v>
      </c>
      <c r="I28">
        <v>2.9450199999999998E-4</v>
      </c>
      <c r="J28">
        <f t="shared" si="0"/>
        <v>1.1288269504911872</v>
      </c>
      <c r="K28">
        <f t="shared" si="1"/>
        <v>0.74852832782403822</v>
      </c>
      <c r="L28">
        <v>45</v>
      </c>
      <c r="M28" t="s">
        <v>154</v>
      </c>
      <c r="N28">
        <v>4.87E-2</v>
      </c>
      <c r="O28">
        <v>1.4478379999999999E-3</v>
      </c>
      <c r="P28">
        <v>2.4350000000000001E-3</v>
      </c>
      <c r="Q28">
        <v>6.7464869999999998E-3</v>
      </c>
      <c r="R28">
        <v>1.7755208000000001E-2</v>
      </c>
      <c r="S28">
        <v>1.5979687999999999E-2</v>
      </c>
      <c r="T28">
        <v>1.6746910000000001E-3</v>
      </c>
      <c r="U28">
        <v>4.138386E-3</v>
      </c>
      <c r="V28">
        <v>4.5703900000000001E-4</v>
      </c>
      <c r="W28">
        <v>8.0712820000000008E-3</v>
      </c>
      <c r="X28">
        <v>2.53294E-3</v>
      </c>
      <c r="Y28">
        <v>7.6939280000000001E-3</v>
      </c>
      <c r="Z28">
        <v>8.9762490000000004E-3</v>
      </c>
      <c r="AA28">
        <v>6.6116489999999998E-3</v>
      </c>
      <c r="AB28">
        <v>6.7680919999999999E-3</v>
      </c>
      <c r="AC28">
        <v>6.9245349999999999E-3</v>
      </c>
      <c r="AD28">
        <v>5.7976190000000004E-3</v>
      </c>
      <c r="AE28">
        <v>4.4272729999999998E-3</v>
      </c>
      <c r="AF28">
        <v>1.8080240000000001E-2</v>
      </c>
      <c r="AG28">
        <v>2.0031932999999998E-2</v>
      </c>
      <c r="AH28">
        <v>9.0046199999999999E-4</v>
      </c>
      <c r="AI28">
        <v>9.0046199999999999E-4</v>
      </c>
      <c r="AJ28">
        <v>4.7901640000000004E-3</v>
      </c>
      <c r="AK28">
        <v>1.4204167E-2</v>
      </c>
      <c r="AL28">
        <v>4.1623930000000003E-3</v>
      </c>
      <c r="AM28">
        <v>5.9001922999999998E-2</v>
      </c>
      <c r="AN28">
        <v>6.0889985000000001E-2</v>
      </c>
      <c r="AO28">
        <v>4.4766538000000002E-2</v>
      </c>
      <c r="AP28">
        <v>3.3528077000000003E-2</v>
      </c>
      <c r="AQ28">
        <v>7.4923077000000005E-2</v>
      </c>
      <c r="AR28">
        <v>1.6834568000000001E-2</v>
      </c>
      <c r="AS28">
        <v>8.2789999999999999E-3</v>
      </c>
      <c r="AU28">
        <v>5.194995E-3</v>
      </c>
      <c r="AV28">
        <v>2.435E-2</v>
      </c>
      <c r="AW28">
        <v>1.9480000000000001E-2</v>
      </c>
      <c r="AX28">
        <v>1.9480000000000001E-2</v>
      </c>
      <c r="AY28">
        <v>1.4610223E-2</v>
      </c>
      <c r="AZ28">
        <v>5.8440000000000002E-3</v>
      </c>
      <c r="BA28">
        <v>8.362764E-3</v>
      </c>
      <c r="BB28">
        <v>1.0053628E-2</v>
      </c>
      <c r="BC28">
        <v>1.7434600000000001E-2</v>
      </c>
      <c r="BD28">
        <v>1.5973600000000001E-2</v>
      </c>
      <c r="BE28">
        <v>5.7872849999999997E-3</v>
      </c>
      <c r="BF28">
        <v>2.0255500000000001E-3</v>
      </c>
      <c r="BG28">
        <v>1.7087719000000001E-2</v>
      </c>
    </row>
    <row r="29" spans="1:64" x14ac:dyDescent="0.2">
      <c r="A29">
        <v>28</v>
      </c>
      <c r="B29" t="s">
        <v>170</v>
      </c>
      <c r="C29" t="s">
        <v>149</v>
      </c>
      <c r="D29" t="s">
        <v>171</v>
      </c>
      <c r="E29" t="s">
        <v>151</v>
      </c>
      <c r="F29" t="s">
        <v>152</v>
      </c>
      <c r="G29" t="s">
        <v>173</v>
      </c>
      <c r="H29">
        <v>2.3731580000000002E-3</v>
      </c>
      <c r="I29" s="1">
        <v>9.9011299999999995E-6</v>
      </c>
      <c r="J29">
        <f t="shared" si="0"/>
        <v>1.3259151342533153</v>
      </c>
      <c r="K29">
        <f t="shared" si="1"/>
        <v>0.79838907576095408</v>
      </c>
      <c r="L29">
        <v>37</v>
      </c>
      <c r="M29" t="s">
        <v>154</v>
      </c>
      <c r="O29">
        <v>5.0000000000000001E-4</v>
      </c>
      <c r="P29">
        <v>4.7727300000000001E-4</v>
      </c>
      <c r="R29">
        <v>2.9677079999999999E-3</v>
      </c>
      <c r="S29">
        <v>2.9677079999999999E-3</v>
      </c>
      <c r="T29">
        <v>7.6341099999999997E-4</v>
      </c>
      <c r="U29">
        <v>7.3994900000000005E-4</v>
      </c>
      <c r="V29">
        <v>3.8581899999999997E-4</v>
      </c>
      <c r="W29">
        <v>3.724E-4</v>
      </c>
      <c r="Y29">
        <v>1.2665230000000001E-3</v>
      </c>
      <c r="Z29">
        <v>1.2860079999999999E-3</v>
      </c>
      <c r="AA29">
        <v>1.305493E-3</v>
      </c>
      <c r="AB29">
        <v>1.363948E-3</v>
      </c>
      <c r="AC29">
        <v>1.363948E-3</v>
      </c>
      <c r="AD29">
        <v>4.4047619999999996E-3</v>
      </c>
      <c r="AE29">
        <v>3.3636360000000001E-3</v>
      </c>
      <c r="AF29">
        <v>2.2155690000000001E-3</v>
      </c>
      <c r="AG29">
        <v>2.4666670000000001E-3</v>
      </c>
      <c r="AJ29">
        <v>3.0327869999999999E-3</v>
      </c>
      <c r="AK29">
        <v>1.2333330000000001E-3</v>
      </c>
      <c r="AL29">
        <v>1.5811969999999999E-3</v>
      </c>
      <c r="AM29">
        <v>2.846154E-3</v>
      </c>
      <c r="AN29">
        <v>2.846154E-3</v>
      </c>
      <c r="AO29">
        <v>2.846154E-3</v>
      </c>
      <c r="AP29">
        <v>2.846154E-3</v>
      </c>
      <c r="AQ29">
        <v>2.846154E-3</v>
      </c>
      <c r="AR29">
        <v>5.4814809999999999E-3</v>
      </c>
      <c r="AS29">
        <v>1.1100000000000001E-3</v>
      </c>
      <c r="AT29">
        <v>3.7000000000000002E-3</v>
      </c>
      <c r="AV29">
        <v>1.9588234999999999E-2</v>
      </c>
      <c r="AZ29">
        <v>1.48E-3</v>
      </c>
      <c r="BA29">
        <v>1.3320000000000001E-3</v>
      </c>
      <c r="BB29">
        <v>1.3320000000000001E-3</v>
      </c>
      <c r="BC29">
        <v>1.3320000000000001E-3</v>
      </c>
      <c r="BD29">
        <v>1.48E-3</v>
      </c>
      <c r="BE29">
        <v>8.7938199999999995E-4</v>
      </c>
      <c r="BF29">
        <v>4.3969099999999998E-4</v>
      </c>
      <c r="BG29">
        <v>1.3631579999999999E-3</v>
      </c>
    </row>
    <row r="30" spans="1:64" x14ac:dyDescent="0.2">
      <c r="A30">
        <v>29</v>
      </c>
      <c r="B30" t="s">
        <v>170</v>
      </c>
      <c r="C30" t="s">
        <v>149</v>
      </c>
      <c r="D30" t="s">
        <v>171</v>
      </c>
      <c r="E30" t="s">
        <v>151</v>
      </c>
      <c r="F30" t="s">
        <v>152</v>
      </c>
      <c r="G30" t="s">
        <v>174</v>
      </c>
      <c r="H30">
        <v>9.55075E-4</v>
      </c>
      <c r="I30" s="1">
        <v>1.3939399999999999E-6</v>
      </c>
      <c r="J30">
        <f t="shared" si="0"/>
        <v>1.2361881130214565</v>
      </c>
      <c r="K30">
        <f t="shared" si="1"/>
        <v>0.7774674132166931</v>
      </c>
      <c r="L30">
        <v>39</v>
      </c>
      <c r="M30" t="s">
        <v>154</v>
      </c>
      <c r="N30">
        <v>1.8743589999999999E-3</v>
      </c>
      <c r="O30">
        <v>5.6945900000000002E-4</v>
      </c>
      <c r="P30">
        <v>1.18857E-4</v>
      </c>
      <c r="R30">
        <v>4.3E-3</v>
      </c>
      <c r="S30">
        <v>4.3E-3</v>
      </c>
      <c r="T30">
        <v>2.3658899999999999E-4</v>
      </c>
      <c r="U30">
        <v>2.6121100000000002E-4</v>
      </c>
      <c r="V30">
        <v>2.6903000000000002E-4</v>
      </c>
      <c r="W30">
        <v>3.65466E-4</v>
      </c>
      <c r="X30">
        <v>2.9819699999999999E-4</v>
      </c>
      <c r="Y30">
        <v>5.95555E-4</v>
      </c>
      <c r="Z30">
        <v>4.9818300000000002E-4</v>
      </c>
      <c r="AA30">
        <v>3.8722399999999998E-4</v>
      </c>
      <c r="AB30">
        <v>4.5289400000000002E-4</v>
      </c>
      <c r="AC30">
        <v>4.5289400000000002E-4</v>
      </c>
      <c r="AF30">
        <v>8.2395199999999997E-4</v>
      </c>
      <c r="AG30">
        <v>1.0893330000000001E-3</v>
      </c>
      <c r="AH30">
        <v>4.6379E-4</v>
      </c>
      <c r="AI30">
        <v>4.6379E-4</v>
      </c>
      <c r="AJ30">
        <v>5.2868849999999998E-3</v>
      </c>
      <c r="AK30">
        <v>2.15E-3</v>
      </c>
      <c r="AM30">
        <v>8.2692300000000002E-4</v>
      </c>
      <c r="AN30">
        <v>8.2692300000000002E-4</v>
      </c>
      <c r="AO30">
        <v>8.2692300000000002E-4</v>
      </c>
      <c r="AP30">
        <v>8.2692300000000002E-4</v>
      </c>
      <c r="AQ30">
        <v>8.2692300000000002E-4</v>
      </c>
      <c r="AR30">
        <v>1.1025640000000001E-3</v>
      </c>
      <c r="AS30">
        <v>8.6000000000000003E-5</v>
      </c>
      <c r="AT30">
        <v>1.72E-3</v>
      </c>
      <c r="AV30">
        <v>1.1025640000000001E-3</v>
      </c>
      <c r="AY30" s="1">
        <v>6.4067300000000002E-5</v>
      </c>
      <c r="AZ30">
        <v>4.2999999999999999E-4</v>
      </c>
      <c r="BA30">
        <v>8.5999999999999998E-4</v>
      </c>
      <c r="BB30">
        <v>9.7008000000000001E-4</v>
      </c>
      <c r="BC30">
        <v>3.612E-4</v>
      </c>
      <c r="BD30">
        <v>5.1599999999999997E-4</v>
      </c>
      <c r="BE30">
        <v>2.0439699999999999E-4</v>
      </c>
      <c r="BF30" s="1">
        <v>7.6648800000000004E-5</v>
      </c>
      <c r="BG30">
        <v>3.6210499999999999E-4</v>
      </c>
    </row>
    <row r="31" spans="1:64" x14ac:dyDescent="0.2">
      <c r="A31">
        <v>30</v>
      </c>
      <c r="B31" t="s">
        <v>170</v>
      </c>
      <c r="C31" t="s">
        <v>149</v>
      </c>
      <c r="D31" t="s">
        <v>171</v>
      </c>
      <c r="E31" t="s">
        <v>151</v>
      </c>
      <c r="F31" t="s">
        <v>152</v>
      </c>
      <c r="G31" t="s">
        <v>175</v>
      </c>
      <c r="H31">
        <v>3.4850499999999998E-4</v>
      </c>
      <c r="I31" s="1">
        <v>6.7998600000000004E-8</v>
      </c>
      <c r="J31">
        <f t="shared" si="0"/>
        <v>0.7482400878519051</v>
      </c>
      <c r="K31">
        <f t="shared" si="1"/>
        <v>0.59909778248089252</v>
      </c>
      <c r="L31">
        <v>24</v>
      </c>
      <c r="M31" t="s">
        <v>154</v>
      </c>
      <c r="O31">
        <v>5.9459499999999995E-4</v>
      </c>
      <c r="R31">
        <v>1.6666700000000001E-4</v>
      </c>
      <c r="S31">
        <v>2.70833E-4</v>
      </c>
      <c r="T31">
        <v>4.12655E-4</v>
      </c>
      <c r="U31">
        <v>1.7063700000000001E-4</v>
      </c>
      <c r="W31">
        <v>1.02885E-4</v>
      </c>
      <c r="Y31">
        <v>3.5283599999999998E-4</v>
      </c>
      <c r="Z31">
        <v>3.1597199999999998E-4</v>
      </c>
      <c r="AA31">
        <v>3.1597199999999998E-4</v>
      </c>
      <c r="AB31">
        <v>4.1708400000000002E-4</v>
      </c>
      <c r="AC31">
        <v>3.6020900000000001E-4</v>
      </c>
      <c r="AH31">
        <v>1.5408300000000001E-4</v>
      </c>
      <c r="AI31">
        <v>1.5408300000000001E-4</v>
      </c>
      <c r="AJ31">
        <v>1.147541E-3</v>
      </c>
      <c r="AR31">
        <v>7.1428599999999996E-4</v>
      </c>
      <c r="AS31">
        <v>4.0000000000000002E-4</v>
      </c>
      <c r="AT31">
        <v>5.9999999999999995E-4</v>
      </c>
      <c r="AV31">
        <v>7.1428599999999996E-4</v>
      </c>
      <c r="AY31">
        <v>4.0342900000000002E-4</v>
      </c>
      <c r="AZ31">
        <v>2.4000000000000001E-4</v>
      </c>
      <c r="BA31">
        <v>3.3599999999999997E-5</v>
      </c>
      <c r="BB31">
        <v>3.68E-5</v>
      </c>
      <c r="BC31">
        <v>4.8000000000000001E-5</v>
      </c>
      <c r="BE31">
        <v>2.3767100000000001E-4</v>
      </c>
    </row>
    <row r="32" spans="1:64" x14ac:dyDescent="0.2">
      <c r="A32">
        <v>31</v>
      </c>
      <c r="B32" t="s">
        <v>170</v>
      </c>
      <c r="C32" t="s">
        <v>149</v>
      </c>
      <c r="D32" t="s">
        <v>171</v>
      </c>
      <c r="E32" t="s">
        <v>151</v>
      </c>
      <c r="F32" t="s">
        <v>157</v>
      </c>
      <c r="G32" t="s">
        <v>176</v>
      </c>
      <c r="H32">
        <v>1.7354162070000001</v>
      </c>
      <c r="I32">
        <v>6.3856522340000001</v>
      </c>
      <c r="J32">
        <f t="shared" si="0"/>
        <v>1.456126086989602</v>
      </c>
      <c r="K32">
        <f t="shared" si="1"/>
        <v>0.82432901307815576</v>
      </c>
      <c r="L32">
        <v>42</v>
      </c>
      <c r="M32" t="s">
        <v>154</v>
      </c>
      <c r="N32">
        <v>6.9425641029999996</v>
      </c>
      <c r="O32">
        <v>1.7027030000000001E-3</v>
      </c>
      <c r="P32">
        <v>0.379410319</v>
      </c>
      <c r="Q32">
        <v>5.0552938850000002</v>
      </c>
      <c r="R32">
        <v>1.7500000000000002E-2</v>
      </c>
      <c r="S32">
        <v>0.68034957100000004</v>
      </c>
      <c r="T32">
        <v>2.0220082530000001</v>
      </c>
      <c r="U32">
        <v>1.872909699</v>
      </c>
      <c r="W32">
        <v>2.5457705210000001</v>
      </c>
      <c r="X32">
        <v>0.73786407799999998</v>
      </c>
      <c r="Y32">
        <v>0.35005529499999999</v>
      </c>
      <c r="Z32">
        <v>1.092337669</v>
      </c>
      <c r="AA32">
        <v>1.219885197</v>
      </c>
      <c r="AB32">
        <v>1.2343356679999999</v>
      </c>
      <c r="AC32">
        <v>1.721080626</v>
      </c>
      <c r="AD32">
        <v>14.233333330000001</v>
      </c>
      <c r="AE32">
        <v>3.7927272730000001</v>
      </c>
      <c r="AF32">
        <v>1.8744910180000001</v>
      </c>
      <c r="AG32">
        <v>1.5500799999999999</v>
      </c>
      <c r="AH32">
        <v>0.43143297400000002</v>
      </c>
      <c r="AI32">
        <v>2.5885978430000001</v>
      </c>
      <c r="AM32">
        <v>0.57076923099999999</v>
      </c>
      <c r="AN32">
        <v>0.26923076899999998</v>
      </c>
      <c r="AO32">
        <v>0.21172307700000001</v>
      </c>
      <c r="AP32">
        <v>0.33742153800000002</v>
      </c>
      <c r="AQ32">
        <v>0.33742153800000002</v>
      </c>
      <c r="AR32">
        <v>6.9135801999999996E-2</v>
      </c>
      <c r="AS32">
        <v>4.9000000000000004</v>
      </c>
      <c r="AT32">
        <v>0.52080000000000004</v>
      </c>
      <c r="AU32">
        <v>3.5247724969999998</v>
      </c>
      <c r="AV32">
        <v>0.32941176500000002</v>
      </c>
      <c r="AW32">
        <v>2.8</v>
      </c>
      <c r="AX32">
        <v>2.8</v>
      </c>
      <c r="AY32">
        <v>2.0368129100000001</v>
      </c>
      <c r="AZ32">
        <v>0.33600000000000002</v>
      </c>
      <c r="BA32">
        <v>0.28000000000000003</v>
      </c>
      <c r="BB32">
        <v>5.2304000000000003E-2</v>
      </c>
      <c r="BC32">
        <v>0.13103999999999999</v>
      </c>
      <c r="BD32">
        <v>0.26432</v>
      </c>
      <c r="BE32">
        <v>0.69875222800000003</v>
      </c>
      <c r="BF32">
        <v>3.3273916000000001E-2</v>
      </c>
      <c r="BG32">
        <v>2.040561404</v>
      </c>
    </row>
    <row r="33" spans="1:59" x14ac:dyDescent="0.2">
      <c r="A33">
        <v>32</v>
      </c>
      <c r="B33" t="s">
        <v>170</v>
      </c>
      <c r="C33" t="s">
        <v>149</v>
      </c>
      <c r="D33" t="s">
        <v>171</v>
      </c>
      <c r="E33" t="s">
        <v>151</v>
      </c>
      <c r="F33" t="s">
        <v>157</v>
      </c>
      <c r="G33" t="s">
        <v>177</v>
      </c>
      <c r="H33">
        <v>0.58019716700000001</v>
      </c>
      <c r="I33">
        <v>1.1769942170000001</v>
      </c>
      <c r="J33">
        <f t="shared" si="0"/>
        <v>1.8698706317094056</v>
      </c>
      <c r="K33">
        <f t="shared" si="1"/>
        <v>0.88181668045017048</v>
      </c>
      <c r="L33">
        <v>31</v>
      </c>
      <c r="M33" t="s">
        <v>154</v>
      </c>
      <c r="N33">
        <v>3.4615384999999999E-2</v>
      </c>
      <c r="O33" s="1">
        <v>3.6486499999999997E-5</v>
      </c>
      <c r="Q33">
        <v>7.4005540999999994E-2</v>
      </c>
      <c r="R33">
        <v>2.8124999999999999E-3</v>
      </c>
      <c r="T33">
        <v>4.6423699999999999E-4</v>
      </c>
      <c r="U33">
        <v>0.432154802</v>
      </c>
      <c r="W33">
        <v>1.7183951019999999</v>
      </c>
      <c r="Y33">
        <v>0.20368371199999999</v>
      </c>
      <c r="Z33">
        <v>0.213281373</v>
      </c>
      <c r="AA33">
        <v>0.213281373</v>
      </c>
      <c r="AB33">
        <v>0.213281373</v>
      </c>
      <c r="AC33">
        <v>0.213281373</v>
      </c>
      <c r="AD33">
        <v>2.4107142860000002</v>
      </c>
      <c r="AE33">
        <v>1.62</v>
      </c>
      <c r="AG33">
        <v>0.42659999999999998</v>
      </c>
      <c r="AJ33">
        <v>6.6393442999999996E-2</v>
      </c>
      <c r="AM33">
        <v>0.14019230799999999</v>
      </c>
      <c r="AN33">
        <v>0.24403846200000001</v>
      </c>
      <c r="AO33">
        <v>0.39461538499999999</v>
      </c>
      <c r="AP33">
        <v>0.39461538499999999</v>
      </c>
      <c r="AQ33">
        <v>0.39461538499999999</v>
      </c>
      <c r="AS33">
        <v>0.16875000000000001</v>
      </c>
      <c r="AT33">
        <v>8.6400000000000005E-2</v>
      </c>
      <c r="AU33">
        <v>5.5419615770000004</v>
      </c>
      <c r="AV33">
        <v>1.294411765</v>
      </c>
      <c r="AY33">
        <v>0.83551093399999998</v>
      </c>
      <c r="AZ33">
        <v>0.12959999999999999</v>
      </c>
      <c r="BA33">
        <v>0.12959999999999999</v>
      </c>
      <c r="BB33">
        <v>0.12959999999999999</v>
      </c>
      <c r="BC33">
        <v>0.12959999999999999</v>
      </c>
      <c r="BD33">
        <v>0.12959999999999999</v>
      </c>
    </row>
    <row r="34" spans="1:59" x14ac:dyDescent="0.2">
      <c r="A34">
        <v>33</v>
      </c>
      <c r="B34" t="s">
        <v>170</v>
      </c>
      <c r="C34" t="s">
        <v>149</v>
      </c>
      <c r="D34" t="s">
        <v>171</v>
      </c>
      <c r="E34" t="s">
        <v>151</v>
      </c>
      <c r="F34" t="s">
        <v>157</v>
      </c>
      <c r="G34" t="s">
        <v>178</v>
      </c>
      <c r="H34">
        <v>6.9620080000000001E-2</v>
      </c>
      <c r="I34">
        <v>9.7732210000000003E-3</v>
      </c>
      <c r="J34">
        <f t="shared" si="0"/>
        <v>1.4199869127892053</v>
      </c>
      <c r="K34">
        <f t="shared" si="1"/>
        <v>0.81760314124771438</v>
      </c>
      <c r="L34">
        <v>28</v>
      </c>
      <c r="M34" t="s">
        <v>154</v>
      </c>
      <c r="O34" s="1">
        <v>2.7027000000000001E-5</v>
      </c>
      <c r="P34">
        <v>1.1609337000000001E-2</v>
      </c>
      <c r="R34">
        <v>0.31354166700000002</v>
      </c>
      <c r="S34">
        <v>0.36924552799999999</v>
      </c>
      <c r="T34">
        <v>2.0632739999999999E-3</v>
      </c>
      <c r="U34">
        <v>1.3650944999999999E-2</v>
      </c>
      <c r="AA34">
        <v>1.685186E-3</v>
      </c>
      <c r="AB34">
        <v>0.115435252</v>
      </c>
      <c r="AC34">
        <v>1.8431724E-2</v>
      </c>
      <c r="AD34">
        <v>0.27380952400000003</v>
      </c>
      <c r="AG34">
        <v>2.4666667E-2</v>
      </c>
      <c r="AH34">
        <v>1.3867488000000001E-2</v>
      </c>
      <c r="AI34">
        <v>1.3867488000000001E-2</v>
      </c>
      <c r="AL34">
        <v>0.19658119700000001</v>
      </c>
      <c r="AM34">
        <v>0.10625</v>
      </c>
      <c r="AN34">
        <v>9.6153846000000001E-2</v>
      </c>
      <c r="AO34">
        <v>3.0769231000000001E-2</v>
      </c>
      <c r="AP34">
        <v>0.03</v>
      </c>
      <c r="AQ34">
        <v>0.03</v>
      </c>
      <c r="AT34">
        <v>0.03</v>
      </c>
      <c r="AY34">
        <v>8.0227386999999997E-2</v>
      </c>
      <c r="AZ34">
        <v>3.5999999999999997E-2</v>
      </c>
      <c r="BA34">
        <v>3.5999999999999997E-2</v>
      </c>
      <c r="BB34">
        <v>2.4799999999999999E-2</v>
      </c>
      <c r="BC34">
        <v>1.4800000000000001E-2</v>
      </c>
      <c r="BD34">
        <v>5.1999999999999995E-4</v>
      </c>
      <c r="BE34">
        <v>4.1592394999999997E-2</v>
      </c>
      <c r="BF34">
        <v>2.3767083000000001E-2</v>
      </c>
    </row>
    <row r="35" spans="1:59" x14ac:dyDescent="0.2">
      <c r="A35">
        <v>34</v>
      </c>
      <c r="B35" t="s">
        <v>170</v>
      </c>
      <c r="C35" t="s">
        <v>149</v>
      </c>
      <c r="D35" t="s">
        <v>171</v>
      </c>
      <c r="E35" t="s">
        <v>151</v>
      </c>
      <c r="F35" t="s">
        <v>157</v>
      </c>
      <c r="G35" t="s">
        <v>179</v>
      </c>
      <c r="H35">
        <v>0.23778829700000001</v>
      </c>
      <c r="I35">
        <v>3.5188995000000001E-2</v>
      </c>
      <c r="J35">
        <f t="shared" si="0"/>
        <v>0.78888365005074457</v>
      </c>
      <c r="K35">
        <f t="shared" si="1"/>
        <v>0.61935887247338028</v>
      </c>
      <c r="L35">
        <v>39</v>
      </c>
      <c r="M35" t="s">
        <v>154</v>
      </c>
      <c r="N35">
        <v>0.1</v>
      </c>
      <c r="O35">
        <v>1.0641890000000001E-3</v>
      </c>
      <c r="P35">
        <v>2.0684889000000001E-2</v>
      </c>
      <c r="Q35">
        <v>3.7255096000000001E-2</v>
      </c>
      <c r="R35">
        <v>0.10234375</v>
      </c>
      <c r="S35">
        <v>0.234375</v>
      </c>
      <c r="T35">
        <v>2.8473176999999999E-2</v>
      </c>
      <c r="U35">
        <v>0.153573135</v>
      </c>
      <c r="W35">
        <v>0.703436591</v>
      </c>
      <c r="X35">
        <v>2.8085992000000001E-2</v>
      </c>
      <c r="Y35">
        <v>0.11750223799999999</v>
      </c>
      <c r="Z35">
        <v>0.16529306399999999</v>
      </c>
      <c r="AA35">
        <v>0.21095107699999999</v>
      </c>
      <c r="AB35">
        <v>0.185515298</v>
      </c>
      <c r="AC35">
        <v>0.20198536</v>
      </c>
      <c r="AD35">
        <v>0.53571428600000004</v>
      </c>
      <c r="AE35">
        <v>0.55227272699999996</v>
      </c>
      <c r="AF35">
        <v>0.179491018</v>
      </c>
      <c r="AG35">
        <v>0.18840000000000001</v>
      </c>
      <c r="AH35">
        <v>5.7781201999999997E-2</v>
      </c>
      <c r="AI35">
        <v>5.7781201999999997E-2</v>
      </c>
      <c r="AJ35">
        <v>0.46721311500000001</v>
      </c>
      <c r="AK35">
        <v>0.39374999999999999</v>
      </c>
      <c r="AL35">
        <v>0.48717948700000002</v>
      </c>
      <c r="AR35">
        <v>0.23518518499999999</v>
      </c>
      <c r="AS35">
        <v>0.1875</v>
      </c>
      <c r="AT35">
        <v>0.2145</v>
      </c>
      <c r="AV35">
        <v>0.52058823499999995</v>
      </c>
      <c r="AW35">
        <v>0.54</v>
      </c>
      <c r="AX35">
        <v>0.33750000000000002</v>
      </c>
      <c r="AY35">
        <v>3.7821483000000003E-2</v>
      </c>
      <c r="AZ35">
        <v>0.24</v>
      </c>
      <c r="BA35">
        <v>0.52200000000000002</v>
      </c>
      <c r="BB35">
        <v>0.41399999999999998</v>
      </c>
      <c r="BC35">
        <v>0.27300000000000002</v>
      </c>
      <c r="BD35">
        <v>0.31380000000000002</v>
      </c>
      <c r="BE35">
        <v>8.9126559999999994E-2</v>
      </c>
      <c r="BF35">
        <v>8.9126559999999994E-2</v>
      </c>
      <c r="BG35">
        <v>4.9473683999999997E-2</v>
      </c>
    </row>
    <row r="36" spans="1:59" x14ac:dyDescent="0.2">
      <c r="A36">
        <v>35</v>
      </c>
      <c r="B36" t="s">
        <v>170</v>
      </c>
      <c r="C36" t="s">
        <v>149</v>
      </c>
      <c r="D36" t="s">
        <v>171</v>
      </c>
      <c r="E36" t="s">
        <v>151</v>
      </c>
      <c r="F36" t="s">
        <v>157</v>
      </c>
      <c r="G36" t="s">
        <v>158</v>
      </c>
      <c r="H36">
        <v>1.397365594</v>
      </c>
      <c r="I36">
        <v>3.3677418910000001</v>
      </c>
      <c r="J36">
        <f t="shared" si="0"/>
        <v>1.3132861183282409</v>
      </c>
      <c r="K36">
        <f t="shared" si="1"/>
        <v>0.79560660475339373</v>
      </c>
      <c r="L36">
        <v>42</v>
      </c>
      <c r="M36" t="s">
        <v>154</v>
      </c>
      <c r="N36">
        <v>0.74666666699999995</v>
      </c>
      <c r="O36" s="1">
        <v>3.5135100000000002E-5</v>
      </c>
      <c r="Q36">
        <v>0.23401543599999999</v>
      </c>
      <c r="R36">
        <v>1.0307916669999999</v>
      </c>
      <c r="S36">
        <v>2.3998344180000002</v>
      </c>
      <c r="T36">
        <v>0.35763411299999998</v>
      </c>
      <c r="U36">
        <v>0.15971605999999999</v>
      </c>
      <c r="W36">
        <v>1.0152456270000001</v>
      </c>
      <c r="X36">
        <v>1.361664355</v>
      </c>
      <c r="Y36">
        <v>0.29065669599999999</v>
      </c>
      <c r="Z36">
        <v>0.64914424100000001</v>
      </c>
      <c r="AA36">
        <v>0.67324240300000004</v>
      </c>
      <c r="AB36">
        <v>0.53336352600000003</v>
      </c>
      <c r="AC36">
        <v>0.739375428</v>
      </c>
      <c r="AD36">
        <v>9.582857143</v>
      </c>
      <c r="AE36">
        <v>2.094181818</v>
      </c>
      <c r="AF36">
        <v>3.1054690620000001</v>
      </c>
      <c r="AG36">
        <v>1.375226667</v>
      </c>
      <c r="AH36">
        <v>0.1201849</v>
      </c>
      <c r="AI36">
        <v>0.1201849</v>
      </c>
      <c r="AK36">
        <v>0.46366666699999998</v>
      </c>
      <c r="AL36">
        <v>0.56444444400000005</v>
      </c>
      <c r="AM36">
        <v>0.13400000000000001</v>
      </c>
      <c r="AN36">
        <v>2.1946666669999999</v>
      </c>
      <c r="AO36">
        <v>4.14825</v>
      </c>
      <c r="AP36">
        <v>5.524</v>
      </c>
      <c r="AQ36">
        <v>4.97525</v>
      </c>
      <c r="AR36">
        <v>2.5679012000000001E-2</v>
      </c>
      <c r="AS36">
        <v>0.59060355799999997</v>
      </c>
      <c r="AT36">
        <v>0.12064</v>
      </c>
      <c r="AU36">
        <v>2.1346814959999998</v>
      </c>
      <c r="AV36">
        <v>0.24470588200000001</v>
      </c>
      <c r="AX36">
        <v>1.04</v>
      </c>
      <c r="AY36">
        <v>1.64610645</v>
      </c>
      <c r="AZ36">
        <v>1.2687999999999999</v>
      </c>
      <c r="BA36">
        <v>1.5623815999999999</v>
      </c>
      <c r="BB36">
        <v>0.90186256899999995</v>
      </c>
      <c r="BC36">
        <v>0.76213743099999998</v>
      </c>
      <c r="BD36">
        <v>0.62974079999999999</v>
      </c>
      <c r="BE36">
        <v>0.432560903</v>
      </c>
      <c r="BF36">
        <v>1.5448603999999999E-2</v>
      </c>
      <c r="BG36">
        <v>2.7202385960000002</v>
      </c>
    </row>
    <row r="37" spans="1:59" x14ac:dyDescent="0.2">
      <c r="A37">
        <v>36</v>
      </c>
      <c r="B37" t="s">
        <v>170</v>
      </c>
      <c r="C37" t="s">
        <v>149</v>
      </c>
      <c r="D37" t="s">
        <v>171</v>
      </c>
      <c r="E37" t="s">
        <v>151</v>
      </c>
      <c r="F37" t="s">
        <v>157</v>
      </c>
      <c r="G37" t="s">
        <v>162</v>
      </c>
      <c r="H37">
        <v>0.11715212999999999</v>
      </c>
      <c r="I37">
        <v>2.3893788999999999E-2</v>
      </c>
      <c r="J37">
        <f t="shared" si="0"/>
        <v>1.3194481331458998</v>
      </c>
      <c r="K37">
        <f t="shared" si="1"/>
        <v>0.79697058242165919</v>
      </c>
      <c r="L37">
        <v>36</v>
      </c>
      <c r="M37" t="s">
        <v>154</v>
      </c>
      <c r="N37">
        <v>0.133682051</v>
      </c>
      <c r="O37">
        <v>5.6486490000000004E-3</v>
      </c>
      <c r="P37">
        <v>1.1507371000000001E-2</v>
      </c>
      <c r="Q37">
        <v>2.3839302999999999E-2</v>
      </c>
      <c r="T37">
        <v>4.1815681E-2</v>
      </c>
      <c r="U37">
        <v>1.2968398000000001E-2</v>
      </c>
      <c r="V37">
        <v>2.5045973999999999E-2</v>
      </c>
      <c r="W37">
        <v>0.11637808099999999</v>
      </c>
      <c r="X37">
        <v>2.0818308000000001E-2</v>
      </c>
      <c r="Y37">
        <v>1.0806256E-2</v>
      </c>
      <c r="Z37">
        <v>8.5049240000000005E-3</v>
      </c>
      <c r="AA37">
        <v>1.4868608E-2</v>
      </c>
      <c r="AB37">
        <v>7.2041709999999997E-3</v>
      </c>
      <c r="AC37">
        <v>6.0034759999999998E-3</v>
      </c>
      <c r="AF37">
        <v>9.8906188000000006E-2</v>
      </c>
      <c r="AG37">
        <v>0.40128000000000003</v>
      </c>
      <c r="AH37">
        <v>5.8551618E-2</v>
      </c>
      <c r="AI37">
        <v>5.8551618E-2</v>
      </c>
      <c r="AJ37">
        <v>0.18065573800000001</v>
      </c>
      <c r="AK37">
        <v>0.15305555600000001</v>
      </c>
      <c r="AL37">
        <v>0.65606837600000001</v>
      </c>
      <c r="AM37">
        <v>0.41927884599999998</v>
      </c>
      <c r="AN37">
        <v>0.41312576899999998</v>
      </c>
      <c r="AO37">
        <v>4.7500000000000001E-2</v>
      </c>
      <c r="AP37">
        <v>4.2750000000000003E-2</v>
      </c>
      <c r="AQ37">
        <v>4.2750000000000003E-2</v>
      </c>
      <c r="AT37">
        <v>0.43396000000000001</v>
      </c>
      <c r="AY37">
        <v>1.9511301000000002E-2</v>
      </c>
      <c r="AZ37">
        <v>5.3199999999999997E-2</v>
      </c>
      <c r="BA37">
        <v>0.18240000000000001</v>
      </c>
      <c r="BB37">
        <v>0.1444</v>
      </c>
      <c r="BC37">
        <v>8.0028000000000002E-2</v>
      </c>
      <c r="BD37">
        <v>0.1198748</v>
      </c>
      <c r="BE37">
        <v>7.902555E-2</v>
      </c>
      <c r="BF37">
        <v>2.2578727999999999E-2</v>
      </c>
      <c r="BG37">
        <v>7.0933333000000001E-2</v>
      </c>
    </row>
    <row r="38" spans="1:59" x14ac:dyDescent="0.2">
      <c r="A38">
        <v>37</v>
      </c>
      <c r="B38" t="s">
        <v>170</v>
      </c>
      <c r="C38" t="s">
        <v>149</v>
      </c>
      <c r="D38" t="s">
        <v>171</v>
      </c>
      <c r="E38" t="s">
        <v>151</v>
      </c>
      <c r="F38" t="s">
        <v>157</v>
      </c>
      <c r="G38" t="s">
        <v>160</v>
      </c>
      <c r="H38">
        <v>0.72080938699999997</v>
      </c>
      <c r="I38">
        <v>1.0184972430000001</v>
      </c>
      <c r="J38">
        <f t="shared" si="0"/>
        <v>1.4001014168748342</v>
      </c>
      <c r="K38">
        <f t="shared" si="1"/>
        <v>0.81375338442296696</v>
      </c>
      <c r="L38">
        <v>43</v>
      </c>
      <c r="M38" t="s">
        <v>154</v>
      </c>
      <c r="N38">
        <v>2.2902</v>
      </c>
      <c r="O38">
        <v>6.3027026999999999E-2</v>
      </c>
      <c r="P38">
        <v>0.12686486499999999</v>
      </c>
      <c r="Q38">
        <v>6.0300811000000003E-2</v>
      </c>
      <c r="R38">
        <v>0.40929166700000003</v>
      </c>
      <c r="S38">
        <v>0.72092013899999996</v>
      </c>
      <c r="T38">
        <v>6.0522696000000001E-2</v>
      </c>
      <c r="U38">
        <v>5.7060950999999999E-2</v>
      </c>
      <c r="W38">
        <v>0.84220979600000001</v>
      </c>
      <c r="X38">
        <v>6.8654650000000003E-3</v>
      </c>
      <c r="Y38">
        <v>0.16683343</v>
      </c>
      <c r="Z38">
        <v>0.18189478100000001</v>
      </c>
      <c r="AA38">
        <v>0.35075570099999998</v>
      </c>
      <c r="AB38">
        <v>0.325661172</v>
      </c>
      <c r="AC38">
        <v>0.20618989900000001</v>
      </c>
      <c r="AD38">
        <v>0.196428571</v>
      </c>
      <c r="AE38">
        <v>0.96799999999999997</v>
      </c>
      <c r="AF38">
        <v>0.65868263500000002</v>
      </c>
      <c r="AG38">
        <v>0.73333333300000003</v>
      </c>
      <c r="AH38">
        <v>6.7796610000000002E-3</v>
      </c>
      <c r="AI38">
        <v>2.7118644000000001E-2</v>
      </c>
      <c r="AJ38">
        <v>0.88</v>
      </c>
      <c r="AK38">
        <v>0.72599999999999998</v>
      </c>
      <c r="AL38">
        <v>0.806666667</v>
      </c>
      <c r="AM38">
        <v>3.7617884620000002</v>
      </c>
      <c r="AN38">
        <v>3.3165</v>
      </c>
      <c r="AO38">
        <v>2.9978173080000001</v>
      </c>
      <c r="AP38">
        <v>2.4722499999999998</v>
      </c>
      <c r="AQ38">
        <v>3.436019231</v>
      </c>
      <c r="AR38">
        <v>7.6320988000000006E-2</v>
      </c>
      <c r="AS38">
        <v>0.28599999999999998</v>
      </c>
      <c r="AT38">
        <v>0.87472000000000005</v>
      </c>
      <c r="AV38">
        <v>3.1058823999999999E-2</v>
      </c>
      <c r="AW38">
        <v>5.5E-2</v>
      </c>
      <c r="AX38">
        <v>0.6754</v>
      </c>
      <c r="AY38">
        <v>0.113232476</v>
      </c>
      <c r="AZ38">
        <v>0.154</v>
      </c>
      <c r="BA38">
        <v>0.21977607499999999</v>
      </c>
      <c r="BB38">
        <v>0.20521600000000001</v>
      </c>
      <c r="BC38">
        <v>0.20113220200000001</v>
      </c>
      <c r="BD38">
        <v>0.188608895</v>
      </c>
      <c r="BE38">
        <v>0.32679738600000002</v>
      </c>
      <c r="BG38">
        <v>0.73155789500000001</v>
      </c>
    </row>
    <row r="39" spans="1:59" x14ac:dyDescent="0.2">
      <c r="A39">
        <v>38</v>
      </c>
      <c r="B39" t="s">
        <v>170</v>
      </c>
      <c r="C39" t="s">
        <v>149</v>
      </c>
      <c r="D39" t="s">
        <v>171</v>
      </c>
      <c r="E39" t="s">
        <v>151</v>
      </c>
      <c r="F39" t="s">
        <v>157</v>
      </c>
      <c r="G39" t="s">
        <v>180</v>
      </c>
      <c r="H39">
        <v>4.9498729999999996E-3</v>
      </c>
      <c r="I39" s="1">
        <v>7.5907699999999998E-5</v>
      </c>
      <c r="J39">
        <f t="shared" si="0"/>
        <v>1.7601466766440355</v>
      </c>
      <c r="K39">
        <f t="shared" si="1"/>
        <v>0.8694742391564998</v>
      </c>
      <c r="L39">
        <v>17</v>
      </c>
      <c r="M39" t="s">
        <v>154</v>
      </c>
      <c r="O39">
        <v>8.7837799999999997E-4</v>
      </c>
      <c r="P39">
        <v>4.6314499999999998E-4</v>
      </c>
      <c r="T39">
        <v>1.0729023000000001E-2</v>
      </c>
      <c r="U39">
        <v>5.3238690000000002E-3</v>
      </c>
      <c r="W39">
        <v>3.7325206999999999E-2</v>
      </c>
      <c r="Y39">
        <v>4.8059399999999999E-3</v>
      </c>
      <c r="Z39">
        <v>4.0391810000000002E-3</v>
      </c>
      <c r="AA39">
        <v>4.7100950000000001E-3</v>
      </c>
      <c r="AB39">
        <v>3.6968800000000002E-4</v>
      </c>
      <c r="AC39">
        <v>9.5845000000000001E-4</v>
      </c>
      <c r="AX39">
        <v>2.5999999999999999E-3</v>
      </c>
      <c r="AZ39">
        <v>2.0799999999999998E-3</v>
      </c>
      <c r="BA39">
        <v>2.0799999999999998E-3</v>
      </c>
      <c r="BB39">
        <v>2.0799999999999998E-3</v>
      </c>
      <c r="BC39">
        <v>2.0799999999999998E-3</v>
      </c>
      <c r="BD39">
        <v>2.0799999999999998E-3</v>
      </c>
      <c r="BE39">
        <v>1.5448599999999999E-3</v>
      </c>
    </row>
    <row r="40" spans="1:59" x14ac:dyDescent="0.2">
      <c r="A40">
        <v>39</v>
      </c>
      <c r="B40" t="s">
        <v>170</v>
      </c>
      <c r="C40" t="s">
        <v>149</v>
      </c>
      <c r="D40" t="s">
        <v>171</v>
      </c>
      <c r="E40" t="s">
        <v>151</v>
      </c>
      <c r="F40" t="s">
        <v>157</v>
      </c>
      <c r="G40" t="s">
        <v>181</v>
      </c>
      <c r="H40">
        <v>1.4894611E-2</v>
      </c>
      <c r="I40">
        <v>1.2757799999999999E-4</v>
      </c>
      <c r="J40">
        <f t="shared" si="0"/>
        <v>0.75833085943688683</v>
      </c>
      <c r="K40">
        <f t="shared" si="1"/>
        <v>0.604239891236515</v>
      </c>
      <c r="L40">
        <v>11</v>
      </c>
      <c r="M40" t="s">
        <v>154</v>
      </c>
      <c r="T40">
        <v>2.7235213000000001E-2</v>
      </c>
      <c r="U40">
        <v>3.9041704000000003E-2</v>
      </c>
      <c r="Y40">
        <v>1.4319869000000001E-2</v>
      </c>
      <c r="Z40">
        <v>1.2802149000000001E-2</v>
      </c>
      <c r="AA40">
        <v>2.2209699999999999E-2</v>
      </c>
      <c r="AB40">
        <v>6.9513930000000002E-3</v>
      </c>
      <c r="AC40">
        <v>6.3721100000000003E-3</v>
      </c>
      <c r="AT40">
        <v>2.0240000000000001E-2</v>
      </c>
      <c r="AW40">
        <v>4.4000000000000003E-3</v>
      </c>
      <c r="AX40">
        <v>2.2000000000000001E-3</v>
      </c>
      <c r="AY40">
        <v>8.0685830000000007E-3</v>
      </c>
    </row>
    <row r="41" spans="1:59" x14ac:dyDescent="0.2">
      <c r="A41">
        <v>40</v>
      </c>
      <c r="B41" t="s">
        <v>170</v>
      </c>
      <c r="C41" t="s">
        <v>149</v>
      </c>
      <c r="D41" t="s">
        <v>171</v>
      </c>
      <c r="E41" t="s">
        <v>151</v>
      </c>
      <c r="F41" t="s">
        <v>157</v>
      </c>
      <c r="G41" t="s">
        <v>163</v>
      </c>
      <c r="H41">
        <v>3.9093663000000001E-2</v>
      </c>
      <c r="I41">
        <v>1.930312E-3</v>
      </c>
      <c r="J41">
        <f t="shared" si="0"/>
        <v>1.1238475169445485</v>
      </c>
      <c r="K41">
        <f t="shared" si="1"/>
        <v>0.74707107836593079</v>
      </c>
      <c r="L41">
        <v>39</v>
      </c>
      <c r="M41" t="s">
        <v>154</v>
      </c>
      <c r="N41">
        <v>1.6199999999999999E-2</v>
      </c>
      <c r="Q41">
        <v>1.2824065000000001E-2</v>
      </c>
      <c r="R41">
        <v>7.6499999999999999E-2</v>
      </c>
      <c r="S41">
        <v>0.12578125000000001</v>
      </c>
      <c r="T41">
        <v>9.9037139999999992E-3</v>
      </c>
      <c r="U41">
        <v>4.9143399999999997E-3</v>
      </c>
      <c r="W41">
        <v>6.8908074E-2</v>
      </c>
      <c r="X41">
        <v>6.6158110000000001E-3</v>
      </c>
      <c r="Y41">
        <v>3.8722418000000002E-2</v>
      </c>
      <c r="Z41">
        <v>3.0522934000000002E-2</v>
      </c>
      <c r="AA41">
        <v>3.0883142999999998E-2</v>
      </c>
      <c r="AB41">
        <v>9.1094839999999993E-3</v>
      </c>
      <c r="AC41">
        <v>4.7395860999999997E-2</v>
      </c>
      <c r="AD41">
        <v>4.2857143E-2</v>
      </c>
      <c r="AE41">
        <v>2.7818182E-2</v>
      </c>
      <c r="AF41">
        <v>2.7952095999999999E-2</v>
      </c>
      <c r="AG41">
        <v>6.9552000000000003E-2</v>
      </c>
      <c r="AH41">
        <v>8.320493E-3</v>
      </c>
      <c r="AI41">
        <v>8.320493E-3</v>
      </c>
      <c r="AJ41">
        <v>0.13278688499999999</v>
      </c>
      <c r="AK41">
        <v>0.06</v>
      </c>
      <c r="AL41">
        <v>0.02</v>
      </c>
      <c r="AM41">
        <v>4.1625000000000002E-2</v>
      </c>
      <c r="AN41">
        <v>2.4287884999999999E-2</v>
      </c>
      <c r="AO41">
        <v>2.0855769E-2</v>
      </c>
      <c r="AP41">
        <v>1.8069231000000002E-2</v>
      </c>
      <c r="AQ41">
        <v>1.8069231000000002E-2</v>
      </c>
      <c r="AT41">
        <v>0.10656</v>
      </c>
      <c r="AU41">
        <v>0.22477249699999999</v>
      </c>
      <c r="AV41">
        <v>2.1176470999999999E-2</v>
      </c>
      <c r="AY41">
        <v>4.1466098E-2</v>
      </c>
      <c r="AZ41">
        <v>2.1600000000000001E-2</v>
      </c>
      <c r="BA41">
        <v>2.1600000000000001E-2</v>
      </c>
      <c r="BB41">
        <v>1.1232000000000001E-2</v>
      </c>
      <c r="BC41">
        <v>1.1771999999999999E-2</v>
      </c>
      <c r="BD41">
        <v>8.5392000000000003E-3</v>
      </c>
      <c r="BE41">
        <v>2.1390374E-2</v>
      </c>
      <c r="BF41">
        <v>3.2085560999999999E-2</v>
      </c>
      <c r="BG41">
        <v>3.6631580000000001E-3</v>
      </c>
    </row>
    <row r="42" spans="1:59" x14ac:dyDescent="0.2">
      <c r="A42">
        <v>41</v>
      </c>
      <c r="B42" t="s">
        <v>170</v>
      </c>
      <c r="C42" t="s">
        <v>149</v>
      </c>
      <c r="D42" t="s">
        <v>171</v>
      </c>
      <c r="E42" t="s">
        <v>151</v>
      </c>
      <c r="F42" t="s">
        <v>157</v>
      </c>
      <c r="G42" t="s">
        <v>161</v>
      </c>
      <c r="H42">
        <v>1.060893477</v>
      </c>
      <c r="I42">
        <v>4.6902901930000001</v>
      </c>
      <c r="J42">
        <f t="shared" si="0"/>
        <v>2.0413998464739058</v>
      </c>
      <c r="K42">
        <f t="shared" si="1"/>
        <v>0.89803999612036578</v>
      </c>
      <c r="L42">
        <v>39</v>
      </c>
      <c r="M42" t="s">
        <v>154</v>
      </c>
      <c r="N42">
        <v>3.4719000000000002</v>
      </c>
      <c r="O42">
        <v>3.8547297000000001E-2</v>
      </c>
      <c r="P42">
        <v>3.4822726999999998E-2</v>
      </c>
      <c r="Q42">
        <v>1.1741935E-2</v>
      </c>
      <c r="R42">
        <v>0.27574166700000002</v>
      </c>
      <c r="S42">
        <v>0.41083520200000001</v>
      </c>
      <c r="T42">
        <v>2.0178817000000002E-2</v>
      </c>
      <c r="U42">
        <v>1.9469660999999999E-2</v>
      </c>
      <c r="V42">
        <v>1.3869447E-2</v>
      </c>
      <c r="Y42">
        <v>0.111891358</v>
      </c>
      <c r="Z42">
        <v>8.0345463000000006E-2</v>
      </c>
      <c r="AA42">
        <v>0.10236321</v>
      </c>
      <c r="AB42">
        <v>7.7950549999999993E-2</v>
      </c>
      <c r="AC42">
        <v>8.2508609999999996E-2</v>
      </c>
      <c r="AE42">
        <v>2.6524545449999999</v>
      </c>
      <c r="AF42">
        <v>9.7604789999999997E-2</v>
      </c>
      <c r="AG42">
        <v>0.10866666699999999</v>
      </c>
      <c r="AJ42">
        <v>0.33802459000000001</v>
      </c>
      <c r="AK42">
        <v>1.6716555559999999</v>
      </c>
      <c r="AL42">
        <v>0.12817094000000001</v>
      </c>
      <c r="AM42">
        <v>8.1700615380000006</v>
      </c>
      <c r="AN42">
        <v>8.6326262820000004</v>
      </c>
      <c r="AO42">
        <v>5.0747072119999999</v>
      </c>
      <c r="AP42">
        <v>3.6967302879999999</v>
      </c>
      <c r="AQ42">
        <v>4.3354081730000003</v>
      </c>
      <c r="AR42">
        <v>2.5154321E-2</v>
      </c>
      <c r="AS42">
        <v>6.5199999999999994E-2</v>
      </c>
      <c r="AT42">
        <v>0.29503000000000001</v>
      </c>
      <c r="AV42">
        <v>2.0135294000000001E-2</v>
      </c>
      <c r="AW42">
        <v>4.8900000000000002E-3</v>
      </c>
      <c r="AX42">
        <v>8.1499999999999993E-3</v>
      </c>
      <c r="AY42">
        <v>0.17317769199999999</v>
      </c>
      <c r="AZ42">
        <v>0.110212507</v>
      </c>
      <c r="BA42">
        <v>0.19869041200000001</v>
      </c>
      <c r="BB42">
        <v>0.18236893800000001</v>
      </c>
      <c r="BC42">
        <v>0.192412322</v>
      </c>
      <c r="BD42">
        <v>0.188063751</v>
      </c>
      <c r="BE42">
        <v>0.116221034</v>
      </c>
      <c r="BG42">
        <v>0.136862807</v>
      </c>
    </row>
    <row r="43" spans="1:59" x14ac:dyDescent="0.2">
      <c r="A43">
        <v>42</v>
      </c>
      <c r="B43" t="s">
        <v>170</v>
      </c>
      <c r="C43" t="s">
        <v>149</v>
      </c>
      <c r="D43" t="s">
        <v>171</v>
      </c>
      <c r="E43" t="s">
        <v>151</v>
      </c>
      <c r="F43" t="s">
        <v>157</v>
      </c>
      <c r="G43" t="s">
        <v>164</v>
      </c>
      <c r="H43">
        <v>8.2801794999999997E-2</v>
      </c>
      <c r="I43">
        <v>1.4194646999999999E-2</v>
      </c>
      <c r="J43">
        <f t="shared" si="0"/>
        <v>1.4388732765022088</v>
      </c>
      <c r="K43">
        <f t="shared" si="1"/>
        <v>0.82116070371365846</v>
      </c>
      <c r="L43">
        <v>26</v>
      </c>
      <c r="M43" t="s">
        <v>154</v>
      </c>
      <c r="N43">
        <v>9.5897436000000003E-2</v>
      </c>
      <c r="O43">
        <v>1.6885134999999999E-2</v>
      </c>
      <c r="P43">
        <v>7.320025E-3</v>
      </c>
      <c r="Q43">
        <v>7.6875124000000003E-2</v>
      </c>
      <c r="R43">
        <v>0.29077083300000001</v>
      </c>
      <c r="S43">
        <v>0.25185639700000001</v>
      </c>
      <c r="T43">
        <v>4.0921595999999998E-2</v>
      </c>
      <c r="U43">
        <v>4.6413214000000001E-2</v>
      </c>
      <c r="W43">
        <v>1.634981E-3</v>
      </c>
      <c r="Y43">
        <v>6.1548790999999999E-2</v>
      </c>
      <c r="Z43">
        <v>7.7887198000000005E-2</v>
      </c>
      <c r="AA43">
        <v>7.7538047999999998E-2</v>
      </c>
      <c r="AB43">
        <v>2.7752909999999999E-2</v>
      </c>
      <c r="AC43">
        <v>5.1906893000000003E-2</v>
      </c>
      <c r="AH43">
        <v>1.3097072E-2</v>
      </c>
      <c r="AI43">
        <v>1.3097072E-2</v>
      </c>
      <c r="AR43">
        <v>0.47579012300000001</v>
      </c>
      <c r="AS43">
        <v>2.5500000000000002E-3</v>
      </c>
      <c r="AT43">
        <v>0.17068</v>
      </c>
      <c r="AV43">
        <v>0.3</v>
      </c>
      <c r="AW43">
        <v>5.1000000000000004E-3</v>
      </c>
      <c r="AX43">
        <v>3.3999999999999998E-3</v>
      </c>
      <c r="AY43">
        <v>3.623986E-3</v>
      </c>
      <c r="BE43">
        <v>1.5151515000000001E-2</v>
      </c>
      <c r="BF43">
        <v>6.0606059999999996E-3</v>
      </c>
      <c r="BG43">
        <v>1.9087719E-2</v>
      </c>
    </row>
    <row r="44" spans="1:59" x14ac:dyDescent="0.2">
      <c r="A44">
        <v>43</v>
      </c>
      <c r="B44" t="s">
        <v>170</v>
      </c>
      <c r="C44" t="s">
        <v>149</v>
      </c>
      <c r="D44" t="s">
        <v>171</v>
      </c>
      <c r="E44" t="s">
        <v>151</v>
      </c>
      <c r="F44" t="s">
        <v>157</v>
      </c>
      <c r="G44" t="s">
        <v>182</v>
      </c>
      <c r="H44">
        <v>3.3958726000000002E-2</v>
      </c>
      <c r="I44">
        <v>3.0587209999999999E-3</v>
      </c>
      <c r="J44">
        <f t="shared" si="0"/>
        <v>1.6286154242020514</v>
      </c>
      <c r="K44">
        <f t="shared" si="1"/>
        <v>0.85217752885881726</v>
      </c>
      <c r="L44">
        <v>11</v>
      </c>
      <c r="M44" t="s">
        <v>154</v>
      </c>
      <c r="N44">
        <v>3.4892307999999997E-2</v>
      </c>
      <c r="O44">
        <v>1.5762162E-2</v>
      </c>
      <c r="P44">
        <v>3.6111670999999998E-2</v>
      </c>
      <c r="T44">
        <v>1.337001E-3</v>
      </c>
      <c r="U44">
        <v>1.1057269999999999E-3</v>
      </c>
      <c r="V44">
        <v>0.195718636</v>
      </c>
      <c r="AH44">
        <v>4.9922960000000002E-3</v>
      </c>
      <c r="AI44">
        <v>1.9969183000000001E-2</v>
      </c>
      <c r="AT44">
        <v>2.4624E-2</v>
      </c>
      <c r="BE44">
        <v>3.3689839999999999E-2</v>
      </c>
      <c r="BG44">
        <v>5.3431579999999998E-3</v>
      </c>
    </row>
    <row r="45" spans="1:59" x14ac:dyDescent="0.2">
      <c r="A45">
        <v>44</v>
      </c>
      <c r="B45" t="s">
        <v>170</v>
      </c>
      <c r="C45" t="s">
        <v>149</v>
      </c>
      <c r="D45" t="s">
        <v>171</v>
      </c>
      <c r="E45" t="s">
        <v>151</v>
      </c>
      <c r="F45" t="s">
        <v>157</v>
      </c>
      <c r="G45" t="s">
        <v>183</v>
      </c>
      <c r="H45">
        <v>9.6933602999999993E-2</v>
      </c>
      <c r="I45">
        <v>4.2607034000000002E-2</v>
      </c>
      <c r="J45">
        <f t="shared" si="0"/>
        <v>2.1294443540166594</v>
      </c>
      <c r="K45">
        <f t="shared" si="1"/>
        <v>0.90516091959128653</v>
      </c>
      <c r="L45">
        <v>29</v>
      </c>
      <c r="M45" t="s">
        <v>154</v>
      </c>
      <c r="N45">
        <v>3.2692308000000003E-2</v>
      </c>
      <c r="O45">
        <v>3.547297E-3</v>
      </c>
      <c r="P45">
        <v>6.6031939999999997E-3</v>
      </c>
      <c r="V45">
        <v>1.9834406999999998E-2</v>
      </c>
      <c r="W45">
        <v>3.1104339000000002E-2</v>
      </c>
      <c r="X45">
        <v>1.8637309000000001E-2</v>
      </c>
      <c r="AE45">
        <v>5.6818179999999999E-3</v>
      </c>
      <c r="AF45">
        <v>8.6626747000000004E-2</v>
      </c>
      <c r="AG45">
        <v>4.2500000000000003E-2</v>
      </c>
      <c r="AH45">
        <v>3.8520801E-2</v>
      </c>
      <c r="AI45">
        <v>3.8520801E-2</v>
      </c>
      <c r="AJ45">
        <v>1.1219262299999999</v>
      </c>
      <c r="AK45">
        <v>0.1875</v>
      </c>
      <c r="AL45">
        <v>0.304487179</v>
      </c>
      <c r="AM45">
        <v>2.4278846E-2</v>
      </c>
      <c r="AN45">
        <v>8.1850961999999999E-2</v>
      </c>
      <c r="AO45">
        <v>5.1562499999999997E-2</v>
      </c>
      <c r="AP45">
        <v>5.6634614999999999E-2</v>
      </c>
      <c r="AQ45">
        <v>5.6634614999999999E-2</v>
      </c>
      <c r="AT45">
        <v>4.0250000000000001E-2</v>
      </c>
      <c r="AY45">
        <v>3.3781460999999999E-2</v>
      </c>
      <c r="AZ45">
        <v>0.09</v>
      </c>
      <c r="BA45">
        <v>0.10349999999999999</v>
      </c>
      <c r="BB45">
        <v>0.111</v>
      </c>
      <c r="BC45">
        <v>6.8855E-2</v>
      </c>
      <c r="BD45">
        <v>8.0214999999999995E-2</v>
      </c>
      <c r="BE45">
        <v>2.9708853E-2</v>
      </c>
      <c r="BF45">
        <v>7.4272130000000002E-3</v>
      </c>
      <c r="BG45">
        <v>3.7192981999999999E-2</v>
      </c>
    </row>
    <row r="46" spans="1:59" x14ac:dyDescent="0.2">
      <c r="A46">
        <v>45</v>
      </c>
      <c r="B46" t="s">
        <v>170</v>
      </c>
      <c r="C46" t="s">
        <v>149</v>
      </c>
      <c r="D46" t="s">
        <v>171</v>
      </c>
      <c r="E46" t="s">
        <v>151</v>
      </c>
      <c r="F46" t="s">
        <v>157</v>
      </c>
      <c r="G46" t="s">
        <v>184</v>
      </c>
      <c r="H46">
        <v>0.12230034300000001</v>
      </c>
      <c r="I46">
        <v>2.3125531000000001E-2</v>
      </c>
      <c r="J46">
        <f t="shared" si="0"/>
        <v>1.2434209539762147</v>
      </c>
      <c r="K46">
        <f t="shared" si="1"/>
        <v>0.77925719830398443</v>
      </c>
      <c r="L46">
        <v>20</v>
      </c>
      <c r="M46" t="s">
        <v>154</v>
      </c>
      <c r="T46">
        <v>7.4277900000000005E-4</v>
      </c>
      <c r="U46">
        <v>1.4742999999999999E-4</v>
      </c>
      <c r="W46">
        <v>0.32559065100000001</v>
      </c>
      <c r="Y46">
        <v>4.0665650000000003E-3</v>
      </c>
      <c r="Z46">
        <v>3.6400019999999998E-3</v>
      </c>
      <c r="AA46">
        <v>5.289378E-3</v>
      </c>
      <c r="AB46">
        <v>1.4218760000000001E-3</v>
      </c>
      <c r="AC46">
        <v>1.137501E-3</v>
      </c>
      <c r="AF46">
        <v>0.32947544899999998</v>
      </c>
      <c r="AG46">
        <v>0.39268799999999998</v>
      </c>
      <c r="AS46">
        <v>1.6199999999999999E-2</v>
      </c>
      <c r="AT46">
        <v>1.6416E-2</v>
      </c>
      <c r="AU46">
        <v>1.4250758000000001E-2</v>
      </c>
      <c r="AW46">
        <v>5.3999999999999999E-2</v>
      </c>
      <c r="AX46">
        <v>3.456E-2</v>
      </c>
      <c r="AZ46">
        <v>0.11663999999999999</v>
      </c>
      <c r="BA46">
        <v>0.23976</v>
      </c>
      <c r="BB46">
        <v>0.31034879999999998</v>
      </c>
      <c r="BC46">
        <v>0.41119487999999998</v>
      </c>
      <c r="BD46">
        <v>0.1684368</v>
      </c>
    </row>
    <row r="47" spans="1:59" x14ac:dyDescent="0.2">
      <c r="A47">
        <v>46</v>
      </c>
      <c r="B47" t="s">
        <v>170</v>
      </c>
      <c r="C47" t="s">
        <v>149</v>
      </c>
      <c r="D47" t="s">
        <v>171</v>
      </c>
      <c r="E47" t="s">
        <v>151</v>
      </c>
      <c r="F47" t="s">
        <v>157</v>
      </c>
      <c r="G47" t="s">
        <v>185</v>
      </c>
      <c r="H47">
        <v>3.0998255999999998E-2</v>
      </c>
      <c r="I47">
        <v>2.1842749999999998E-3</v>
      </c>
      <c r="J47">
        <f t="shared" si="0"/>
        <v>1.507705075987672</v>
      </c>
      <c r="K47">
        <f t="shared" si="1"/>
        <v>0.8333583879280696</v>
      </c>
      <c r="L47">
        <v>42</v>
      </c>
      <c r="M47" t="s">
        <v>154</v>
      </c>
      <c r="N47">
        <v>6.2700000000000004E-3</v>
      </c>
      <c r="O47">
        <v>4.2364900000000001E-4</v>
      </c>
      <c r="P47">
        <v>2.4508599999999999E-4</v>
      </c>
      <c r="Q47">
        <v>3.0118739999999999E-3</v>
      </c>
      <c r="R47">
        <v>0.26956249999999998</v>
      </c>
      <c r="S47">
        <v>0.130270523</v>
      </c>
      <c r="T47">
        <v>1.1760659999999999E-2</v>
      </c>
      <c r="U47">
        <v>1.0815643999999999E-2</v>
      </c>
      <c r="W47">
        <v>7.1463415000000002E-2</v>
      </c>
      <c r="X47">
        <v>3.8737860000000002E-3</v>
      </c>
      <c r="Y47">
        <v>1.0506082E-2</v>
      </c>
      <c r="Z47">
        <v>1.1256517000000001E-2</v>
      </c>
      <c r="AA47">
        <v>8.3958609999999993E-3</v>
      </c>
      <c r="AB47">
        <v>1.8820900000000001E-3</v>
      </c>
      <c r="AC47">
        <v>9.0052139999999992E-3</v>
      </c>
      <c r="AD47">
        <v>2.375E-2</v>
      </c>
      <c r="AE47">
        <v>4.9227273000000002E-2</v>
      </c>
      <c r="AF47">
        <v>1.7043114000000002E-2</v>
      </c>
      <c r="AG47">
        <v>7.5741600000000006E-2</v>
      </c>
      <c r="AJ47">
        <v>7.1950819999999999E-2</v>
      </c>
      <c r="AK47">
        <v>6.0324999999999997E-2</v>
      </c>
      <c r="AL47">
        <v>1.3641026000000001E-2</v>
      </c>
      <c r="AN47">
        <v>1.2276923E-2</v>
      </c>
      <c r="AO47">
        <v>4.0585096000000001E-2</v>
      </c>
      <c r="AP47">
        <v>2.3172692000000002E-2</v>
      </c>
      <c r="AQ47">
        <v>2.3172692000000002E-2</v>
      </c>
      <c r="AR47">
        <v>2.2518519000000001E-2</v>
      </c>
      <c r="AS47">
        <v>5.7000000000000002E-3</v>
      </c>
      <c r="AT47">
        <v>4.5372000000000003E-2</v>
      </c>
      <c r="AU47">
        <v>4.1784631000000003E-2</v>
      </c>
      <c r="AV47">
        <v>2.0788234999999999E-2</v>
      </c>
      <c r="AW47">
        <v>5.7000000000000002E-3</v>
      </c>
      <c r="AX47">
        <v>8.5500000000000003E-3</v>
      </c>
      <c r="AY47">
        <v>6.5680790000000001E-3</v>
      </c>
      <c r="AZ47">
        <v>3.4200000000000001E-2</v>
      </c>
      <c r="BA47">
        <v>7.7976000000000004E-2</v>
      </c>
      <c r="BB47">
        <v>3.0597599999999999E-2</v>
      </c>
      <c r="BC47">
        <v>1.338816E-2</v>
      </c>
      <c r="BD47">
        <v>8.5203599999999994E-3</v>
      </c>
      <c r="BE47">
        <v>1.3547237E-2</v>
      </c>
      <c r="BF47">
        <v>3.3868090000000002E-3</v>
      </c>
      <c r="BG47">
        <v>3.7000000000000002E-3</v>
      </c>
    </row>
    <row r="48" spans="1:59" x14ac:dyDescent="0.2">
      <c r="A48">
        <v>47</v>
      </c>
      <c r="B48" t="s">
        <v>170</v>
      </c>
      <c r="C48" t="s">
        <v>149</v>
      </c>
      <c r="D48" t="s">
        <v>171</v>
      </c>
      <c r="E48" t="s">
        <v>151</v>
      </c>
      <c r="F48" t="s">
        <v>157</v>
      </c>
      <c r="G48" t="s">
        <v>186</v>
      </c>
      <c r="H48">
        <v>9.1108248000000003E-2</v>
      </c>
      <c r="I48">
        <v>8.4279779999999992E-3</v>
      </c>
      <c r="J48">
        <f t="shared" si="0"/>
        <v>1.0076367566616422</v>
      </c>
      <c r="K48">
        <f t="shared" si="1"/>
        <v>0.70979137691272565</v>
      </c>
      <c r="L48">
        <v>21</v>
      </c>
      <c r="M48" t="s">
        <v>154</v>
      </c>
      <c r="N48">
        <v>0.23699999999999999</v>
      </c>
      <c r="AF48">
        <v>3.1832335000000003E-2</v>
      </c>
      <c r="AG48">
        <v>8.5283999999999999E-2</v>
      </c>
      <c r="AH48">
        <v>2.0801230000000001E-3</v>
      </c>
      <c r="AI48">
        <v>8.320493E-3</v>
      </c>
      <c r="AJ48">
        <v>0.184795082</v>
      </c>
      <c r="AK48">
        <v>8.5750000000000007E-2</v>
      </c>
      <c r="AL48">
        <v>2.8076923E-2</v>
      </c>
      <c r="AM48">
        <v>0.17930769199999999</v>
      </c>
      <c r="AN48">
        <v>0.238153846</v>
      </c>
      <c r="AO48">
        <v>0.229644231</v>
      </c>
      <c r="AP48">
        <v>0.25111298100000001</v>
      </c>
      <c r="AQ48">
        <v>0.13296634600000001</v>
      </c>
      <c r="AZ48">
        <v>7.1999999999999998E-3</v>
      </c>
      <c r="BA48">
        <v>1.0800000000000001E-2</v>
      </c>
      <c r="BB48">
        <v>3.9556800000000003E-2</v>
      </c>
      <c r="BC48">
        <v>4.6834199999999999E-2</v>
      </c>
      <c r="BD48">
        <v>9.8330399999999998E-2</v>
      </c>
      <c r="BE48">
        <v>8.0213899999999998E-3</v>
      </c>
      <c r="BF48">
        <v>1.0695189999999999E-3</v>
      </c>
      <c r="BG48">
        <v>7.136842E-3</v>
      </c>
    </row>
    <row r="49" spans="1:101" x14ac:dyDescent="0.2">
      <c r="A49">
        <v>48</v>
      </c>
      <c r="B49" t="s">
        <v>170</v>
      </c>
      <c r="C49" t="s">
        <v>149</v>
      </c>
      <c r="D49" t="s">
        <v>171</v>
      </c>
      <c r="E49" t="s">
        <v>151</v>
      </c>
      <c r="F49" t="s">
        <v>157</v>
      </c>
      <c r="G49" t="s">
        <v>169</v>
      </c>
      <c r="H49">
        <v>0.369855192</v>
      </c>
      <c r="I49">
        <v>0.98204391000000002</v>
      </c>
      <c r="J49">
        <f t="shared" si="0"/>
        <v>2.6793764366096107</v>
      </c>
      <c r="K49">
        <f t="shared" si="1"/>
        <v>0.93687594314761147</v>
      </c>
      <c r="L49">
        <v>43</v>
      </c>
      <c r="M49" t="s">
        <v>154</v>
      </c>
      <c r="N49">
        <v>9.6799999999999994E-3</v>
      </c>
      <c r="O49">
        <v>2.3783800000000001E-4</v>
      </c>
      <c r="P49">
        <v>2.2162199999999999E-4</v>
      </c>
      <c r="Q49">
        <v>5.2289729E-2</v>
      </c>
      <c r="R49">
        <v>0.50343333300000004</v>
      </c>
      <c r="S49">
        <v>0.76981049000000001</v>
      </c>
      <c r="T49">
        <v>2.4209077999999998E-2</v>
      </c>
      <c r="U49">
        <v>5.2556140000000001E-2</v>
      </c>
      <c r="W49">
        <v>0.21139465900000001</v>
      </c>
      <c r="Y49">
        <v>0.47281057500000001</v>
      </c>
      <c r="Z49">
        <v>0.35452103800000001</v>
      </c>
      <c r="AA49">
        <v>0.31757438500000001</v>
      </c>
      <c r="AB49">
        <v>0.20287176800000001</v>
      </c>
      <c r="AC49">
        <v>0.19896971899999999</v>
      </c>
      <c r="AD49">
        <v>0.23623809500000001</v>
      </c>
      <c r="AE49">
        <v>0.1</v>
      </c>
      <c r="AF49">
        <v>0.260671457</v>
      </c>
      <c r="AG49">
        <v>0.24386559999999999</v>
      </c>
      <c r="AH49">
        <v>8.135593E-3</v>
      </c>
      <c r="AI49">
        <v>8.135593E-3</v>
      </c>
      <c r="AJ49">
        <v>0.22829508200000001</v>
      </c>
      <c r="AK49">
        <v>0.158644444</v>
      </c>
      <c r="AL49">
        <v>8.1982905999999994E-2</v>
      </c>
      <c r="AM49">
        <v>0.1056</v>
      </c>
      <c r="AN49">
        <v>0.1056</v>
      </c>
      <c r="AO49">
        <v>0.1056</v>
      </c>
      <c r="AP49">
        <v>0.1056</v>
      </c>
      <c r="AQ49">
        <v>0.1056</v>
      </c>
      <c r="AR49">
        <v>2.8404444440000001</v>
      </c>
      <c r="AS49">
        <v>0.51919999999999999</v>
      </c>
      <c r="AT49">
        <v>0.15945599999999999</v>
      </c>
      <c r="AV49">
        <v>6.0655294120000001</v>
      </c>
      <c r="AW49">
        <v>8.3159999999999998E-2</v>
      </c>
      <c r="AX49">
        <v>0.24288000000000001</v>
      </c>
      <c r="AY49">
        <v>2.9759959999999998E-2</v>
      </c>
      <c r="AZ49">
        <v>0.1144</v>
      </c>
      <c r="BA49">
        <v>0.209616</v>
      </c>
      <c r="BB49">
        <v>0.19756000000000001</v>
      </c>
      <c r="BC49">
        <v>0.1312256</v>
      </c>
      <c r="BD49">
        <v>0.15961792</v>
      </c>
      <c r="BE49">
        <v>3.1372549E-2</v>
      </c>
      <c r="BF49">
        <v>8.1045751999999999E-2</v>
      </c>
      <c r="BG49">
        <v>1.3956491E-2</v>
      </c>
    </row>
    <row r="50" spans="1:101" x14ac:dyDescent="0.2">
      <c r="A50">
        <v>49</v>
      </c>
      <c r="B50" t="s">
        <v>170</v>
      </c>
      <c r="C50" t="s">
        <v>149</v>
      </c>
      <c r="D50" t="s">
        <v>171</v>
      </c>
      <c r="E50" t="s">
        <v>151</v>
      </c>
      <c r="F50" t="s">
        <v>157</v>
      </c>
      <c r="G50" t="s">
        <v>187</v>
      </c>
      <c r="H50">
        <v>7.9259889999999996E-3</v>
      </c>
      <c r="I50">
        <v>1.08539E-4</v>
      </c>
      <c r="J50">
        <f t="shared" si="0"/>
        <v>1.3144359927461862</v>
      </c>
      <c r="K50">
        <f t="shared" si="1"/>
        <v>0.79586205511486408</v>
      </c>
      <c r="L50">
        <v>35</v>
      </c>
      <c r="M50" t="s">
        <v>154</v>
      </c>
      <c r="N50">
        <v>5.2307689999999997E-3</v>
      </c>
      <c r="O50" s="1">
        <v>2.7027E-6</v>
      </c>
      <c r="R50">
        <v>6.875E-3</v>
      </c>
      <c r="S50">
        <v>1.2500000000000001E-2</v>
      </c>
      <c r="T50">
        <v>6.8775800000000001E-4</v>
      </c>
      <c r="U50">
        <v>5.4603799999999999E-4</v>
      </c>
      <c r="W50">
        <v>2.8328875E-2</v>
      </c>
      <c r="X50">
        <v>3.5228849999999999E-3</v>
      </c>
      <c r="Y50">
        <v>2.5488440000000002E-3</v>
      </c>
      <c r="Z50">
        <v>3.9180580000000003E-3</v>
      </c>
      <c r="AA50">
        <v>2.6331029999999999E-3</v>
      </c>
      <c r="AB50">
        <v>2.6331029999999999E-3</v>
      </c>
      <c r="AC50">
        <v>6.3194499999999997E-4</v>
      </c>
      <c r="AD50">
        <v>9.5238100000000006E-3</v>
      </c>
      <c r="AE50">
        <v>3.636364E-3</v>
      </c>
      <c r="AG50">
        <v>6.4000000000000003E-3</v>
      </c>
      <c r="AH50">
        <v>6.1633300000000005E-4</v>
      </c>
      <c r="AI50">
        <v>6.1633300000000005E-4</v>
      </c>
      <c r="AJ50">
        <v>3.9344260000000004E-3</v>
      </c>
      <c r="AM50">
        <v>1.5384615000000001E-2</v>
      </c>
      <c r="AN50">
        <v>1.2E-2</v>
      </c>
      <c r="AO50">
        <v>9.2307689999999998E-3</v>
      </c>
      <c r="AP50">
        <v>9.2307689999999998E-3</v>
      </c>
      <c r="AQ50">
        <v>9.2307689999999998E-3</v>
      </c>
      <c r="AT50">
        <v>1.8079999999999999E-2</v>
      </c>
      <c r="AX50">
        <v>4.0000000000000002E-4</v>
      </c>
      <c r="AY50">
        <v>1.295558E-3</v>
      </c>
      <c r="AZ50">
        <v>3.2000000000000002E-3</v>
      </c>
      <c r="BA50">
        <v>1.6496E-2</v>
      </c>
      <c r="BB50">
        <v>3.6448000000000001E-2</v>
      </c>
      <c r="BC50">
        <v>4.5311999999999998E-2</v>
      </c>
      <c r="BD50">
        <v>2.72E-4</v>
      </c>
      <c r="BE50">
        <v>1.6636960000000001E-3</v>
      </c>
      <c r="BF50">
        <v>3.5650619999999999E-3</v>
      </c>
      <c r="BG50">
        <v>8.1403499999999995E-4</v>
      </c>
    </row>
    <row r="51" spans="1:101" x14ac:dyDescent="0.2">
      <c r="A51">
        <v>50</v>
      </c>
      <c r="B51" t="s">
        <v>170</v>
      </c>
      <c r="C51" t="s">
        <v>149</v>
      </c>
      <c r="D51" t="s">
        <v>171</v>
      </c>
      <c r="E51" t="s">
        <v>151</v>
      </c>
      <c r="F51" t="s">
        <v>157</v>
      </c>
      <c r="G51" t="s">
        <v>188</v>
      </c>
      <c r="H51">
        <v>5.4669779999999999E-3</v>
      </c>
      <c r="I51" s="1">
        <v>2.9220199999999999E-5</v>
      </c>
      <c r="J51">
        <f t="shared" si="0"/>
        <v>0.98876768850360697</v>
      </c>
      <c r="K51">
        <f t="shared" si="1"/>
        <v>0.70310191655163701</v>
      </c>
      <c r="L51">
        <v>28</v>
      </c>
      <c r="M51" t="s">
        <v>154</v>
      </c>
      <c r="R51">
        <v>1.7463541999999999E-2</v>
      </c>
      <c r="S51">
        <v>1.7500000000000002E-2</v>
      </c>
      <c r="W51">
        <v>1.1054003999999999E-2</v>
      </c>
      <c r="Y51">
        <v>1.382379E-3</v>
      </c>
      <c r="Z51">
        <v>4.7738160000000002E-3</v>
      </c>
      <c r="AA51">
        <v>2.0274899999999998E-3</v>
      </c>
      <c r="AB51">
        <v>2.0274899999999998E-3</v>
      </c>
      <c r="AC51">
        <v>1.1059030000000001E-3</v>
      </c>
      <c r="AD51">
        <v>8.3333330000000001E-3</v>
      </c>
      <c r="AE51">
        <v>1.5909091E-2</v>
      </c>
      <c r="AG51">
        <v>1.596E-3</v>
      </c>
      <c r="AH51">
        <v>1.078582E-3</v>
      </c>
      <c r="AI51">
        <v>1.078582E-3</v>
      </c>
      <c r="AJ51">
        <v>5.7377050000000001E-3</v>
      </c>
      <c r="AK51">
        <v>2.916667E-3</v>
      </c>
      <c r="AL51">
        <v>1.1965809999999999E-3</v>
      </c>
      <c r="AR51">
        <v>2.1604940000000002E-3</v>
      </c>
      <c r="AT51">
        <v>5.5999999999999995E-4</v>
      </c>
      <c r="AV51">
        <v>1.2352940999999999E-2</v>
      </c>
      <c r="AY51">
        <v>1.21143E-4</v>
      </c>
      <c r="AZ51">
        <v>8.1060000000000004E-3</v>
      </c>
      <c r="BA51">
        <v>8.1060000000000004E-3</v>
      </c>
      <c r="BB51">
        <v>8.1060000000000004E-3</v>
      </c>
      <c r="BC51">
        <v>8.1060000000000004E-3</v>
      </c>
      <c r="BD51">
        <v>8.1060000000000004E-3</v>
      </c>
      <c r="BE51">
        <v>6.2388600000000004E-4</v>
      </c>
      <c r="BF51">
        <v>4.1592400000000002E-4</v>
      </c>
      <c r="BG51">
        <v>1.1298250000000001E-3</v>
      </c>
    </row>
    <row r="52" spans="1:101" x14ac:dyDescent="0.2">
      <c r="A52">
        <v>51</v>
      </c>
      <c r="B52" t="s">
        <v>170</v>
      </c>
      <c r="C52" t="s">
        <v>149</v>
      </c>
      <c r="D52" t="s">
        <v>171</v>
      </c>
      <c r="E52" t="s">
        <v>151</v>
      </c>
      <c r="F52" t="s">
        <v>157</v>
      </c>
      <c r="G52" t="s">
        <v>189</v>
      </c>
      <c r="H52">
        <v>9.1070975999999998E-2</v>
      </c>
      <c r="I52">
        <v>1.2834987000000001E-2</v>
      </c>
      <c r="J52">
        <f t="shared" si="0"/>
        <v>1.2439923958922185</v>
      </c>
      <c r="K52">
        <f t="shared" si="1"/>
        <v>0.77939779601035775</v>
      </c>
      <c r="L52">
        <v>17</v>
      </c>
      <c r="M52" t="s">
        <v>154</v>
      </c>
      <c r="N52">
        <v>1.8276923E-2</v>
      </c>
      <c r="AF52">
        <v>0.14086347299999999</v>
      </c>
      <c r="AG52">
        <v>0.38302560000000002</v>
      </c>
      <c r="AJ52">
        <v>5.0754097999999997E-2</v>
      </c>
      <c r="AK52">
        <v>1.61E-2</v>
      </c>
      <c r="AL52">
        <v>1.3692308E-2</v>
      </c>
      <c r="AM52">
        <v>9.4500000000000001E-2</v>
      </c>
      <c r="AN52">
        <v>0.21634615400000001</v>
      </c>
      <c r="AO52">
        <v>0.31409999999999999</v>
      </c>
      <c r="AP52">
        <v>0.109073077</v>
      </c>
      <c r="AQ52">
        <v>9.0718269000000004E-2</v>
      </c>
      <c r="AZ52">
        <v>2.6684155000000001E-2</v>
      </c>
      <c r="BA52">
        <v>2.3705179E-2</v>
      </c>
      <c r="BB52">
        <v>9.5715309999999994E-3</v>
      </c>
      <c r="BC52">
        <v>1.5487713E-2</v>
      </c>
      <c r="BD52">
        <v>1.3510225000000001E-2</v>
      </c>
      <c r="BG52">
        <v>1.1797894999999999E-2</v>
      </c>
    </row>
    <row r="53" spans="1:101" x14ac:dyDescent="0.2">
      <c r="A53">
        <v>52</v>
      </c>
      <c r="B53" t="s">
        <v>170</v>
      </c>
      <c r="C53" t="s">
        <v>149</v>
      </c>
      <c r="D53" t="s">
        <v>171</v>
      </c>
      <c r="E53" t="s">
        <v>151</v>
      </c>
      <c r="F53" t="s">
        <v>157</v>
      </c>
      <c r="G53" t="s">
        <v>190</v>
      </c>
      <c r="H53">
        <v>6.256976E-3</v>
      </c>
      <c r="I53">
        <v>1.06724E-4</v>
      </c>
      <c r="J53">
        <f t="shared" si="0"/>
        <v>1.6510740739736043</v>
      </c>
      <c r="K53">
        <f t="shared" si="1"/>
        <v>0.85534727334394756</v>
      </c>
      <c r="L53">
        <v>17</v>
      </c>
      <c r="M53" t="s">
        <v>154</v>
      </c>
      <c r="O53">
        <v>1.743243E-3</v>
      </c>
      <c r="Q53">
        <v>4.05917E-4</v>
      </c>
      <c r="R53">
        <v>2.5060938000000001E-2</v>
      </c>
      <c r="S53">
        <v>3.2115625000000002E-2</v>
      </c>
      <c r="T53" s="1">
        <v>1.06465E-5</v>
      </c>
      <c r="W53">
        <v>1.1852189000000001E-2</v>
      </c>
      <c r="X53" s="1">
        <v>9.8405000000000004E-5</v>
      </c>
      <c r="Y53">
        <v>6.1140700000000001E-4</v>
      </c>
      <c r="Z53">
        <v>1.019011E-3</v>
      </c>
      <c r="AA53">
        <v>1.019011E-3</v>
      </c>
      <c r="AB53">
        <v>1.019011E-3</v>
      </c>
      <c r="AC53">
        <v>1.019011E-3</v>
      </c>
      <c r="AG53">
        <v>6.1920000000000003E-5</v>
      </c>
      <c r="AJ53">
        <v>2.11475E-4</v>
      </c>
      <c r="AR53">
        <v>5.574074E-3</v>
      </c>
      <c r="AV53">
        <v>2.3068234999999999E-2</v>
      </c>
      <c r="AY53">
        <v>1.4784760000000001E-3</v>
      </c>
    </row>
    <row r="54" spans="1:101" x14ac:dyDescent="0.2">
      <c r="A54">
        <v>53</v>
      </c>
      <c r="B54" t="s">
        <v>170</v>
      </c>
      <c r="C54" t="s">
        <v>149</v>
      </c>
      <c r="D54" t="s">
        <v>171</v>
      </c>
      <c r="E54" t="s">
        <v>151</v>
      </c>
      <c r="F54" t="s">
        <v>157</v>
      </c>
      <c r="G54" t="s">
        <v>191</v>
      </c>
      <c r="H54">
        <v>2.2632267000000001E-2</v>
      </c>
      <c r="I54">
        <v>8.8434400000000002E-4</v>
      </c>
      <c r="J54">
        <f t="shared" si="0"/>
        <v>1.3139612535492842</v>
      </c>
      <c r="K54">
        <f t="shared" si="1"/>
        <v>0.79575664089461329</v>
      </c>
      <c r="L54">
        <v>13</v>
      </c>
      <c r="M54" t="s">
        <v>154</v>
      </c>
      <c r="N54">
        <v>2.1538460000000001E-3</v>
      </c>
      <c r="T54">
        <v>9.6671300000000001E-4</v>
      </c>
      <c r="W54">
        <v>3.1626000000000001E-4</v>
      </c>
      <c r="X54">
        <v>6.6990300000000001E-4</v>
      </c>
      <c r="AD54">
        <v>6.6666666999999999E-2</v>
      </c>
      <c r="AE54">
        <v>6.3636364000000001E-2</v>
      </c>
      <c r="AG54">
        <v>9.5984E-3</v>
      </c>
      <c r="AJ54">
        <v>1.8934426000000001E-2</v>
      </c>
      <c r="AK54">
        <v>1.6333332999999998E-2</v>
      </c>
      <c r="AL54">
        <v>1.0290598E-2</v>
      </c>
      <c r="AR54">
        <v>1.6851852E-2</v>
      </c>
      <c r="AV54">
        <v>8.7541175999999998E-2</v>
      </c>
      <c r="AY54">
        <v>2.5993700000000002E-4</v>
      </c>
    </row>
    <row r="55" spans="1:101" x14ac:dyDescent="0.2">
      <c r="A55">
        <v>54</v>
      </c>
      <c r="B55" t="s">
        <v>170</v>
      </c>
      <c r="C55" t="s">
        <v>149</v>
      </c>
      <c r="D55" t="s">
        <v>171</v>
      </c>
      <c r="E55" t="s">
        <v>151</v>
      </c>
      <c r="F55" t="s">
        <v>157</v>
      </c>
      <c r="G55" t="s">
        <v>192</v>
      </c>
      <c r="H55">
        <v>2.762923E-3</v>
      </c>
      <c r="I55" s="1">
        <v>3.4118800000000002E-6</v>
      </c>
      <c r="J55">
        <f t="shared" si="0"/>
        <v>0.66854107033020649</v>
      </c>
      <c r="K55">
        <f t="shared" si="1"/>
        <v>0.55577851759269248</v>
      </c>
      <c r="L55">
        <v>9</v>
      </c>
      <c r="M55" t="s">
        <v>154</v>
      </c>
      <c r="O55" s="1">
        <v>1.31757E-5</v>
      </c>
      <c r="W55">
        <v>6.6061280000000002E-3</v>
      </c>
      <c r="X55">
        <v>9.4660199999999995E-4</v>
      </c>
      <c r="AG55">
        <v>1.7367999999999999E-3</v>
      </c>
      <c r="AZ55">
        <v>3.1127199999999998E-3</v>
      </c>
      <c r="BA55">
        <v>3.1127199999999998E-3</v>
      </c>
      <c r="BB55">
        <v>3.1127199999999998E-3</v>
      </c>
      <c r="BC55">
        <v>3.1127199999999998E-3</v>
      </c>
      <c r="BD55">
        <v>3.1127199999999998E-3</v>
      </c>
    </row>
    <row r="56" spans="1:101" x14ac:dyDescent="0.2">
      <c r="A56">
        <v>55</v>
      </c>
      <c r="B56" t="s">
        <v>170</v>
      </c>
      <c r="C56" t="s">
        <v>149</v>
      </c>
      <c r="D56" t="s">
        <v>171</v>
      </c>
      <c r="E56" t="s">
        <v>151</v>
      </c>
      <c r="F56" t="s">
        <v>157</v>
      </c>
      <c r="G56" t="s">
        <v>193</v>
      </c>
      <c r="H56">
        <v>6.19807E-4</v>
      </c>
      <c r="I56" s="1">
        <v>8.4906500000000004E-7</v>
      </c>
      <c r="J56">
        <f t="shared" si="0"/>
        <v>1.4866679970729273</v>
      </c>
      <c r="K56">
        <f t="shared" si="1"/>
        <v>0.82975367203848682</v>
      </c>
      <c r="L56">
        <v>20</v>
      </c>
      <c r="M56" t="s">
        <v>154</v>
      </c>
      <c r="O56" s="1">
        <v>3.1621600000000002E-5</v>
      </c>
      <c r="R56">
        <v>4.0624999999999998E-4</v>
      </c>
      <c r="S56">
        <v>4.7395800000000002E-4</v>
      </c>
      <c r="T56" s="1">
        <v>4.47043E-6</v>
      </c>
      <c r="U56">
        <v>4.1597159999999999E-3</v>
      </c>
      <c r="W56">
        <v>7.4726000000000002E-4</v>
      </c>
      <c r="Y56">
        <v>3.4230300000000002E-4</v>
      </c>
      <c r="Z56">
        <v>3.5941899999999998E-4</v>
      </c>
      <c r="AA56">
        <v>3.5941899999999998E-4</v>
      </c>
      <c r="AB56">
        <v>3.5941899999999998E-4</v>
      </c>
      <c r="AC56">
        <v>3.5941899999999998E-4</v>
      </c>
      <c r="AR56">
        <v>6.4197500000000003E-4</v>
      </c>
      <c r="AT56">
        <v>1.9239999999999999E-3</v>
      </c>
      <c r="AZ56">
        <v>2.5999999999999998E-4</v>
      </c>
      <c r="BA56">
        <v>2.5999999999999998E-4</v>
      </c>
      <c r="BB56">
        <v>2.5999999999999998E-4</v>
      </c>
      <c r="BC56">
        <v>2.5999999999999998E-4</v>
      </c>
      <c r="BD56">
        <v>2.5999999999999998E-4</v>
      </c>
      <c r="BE56">
        <v>6.1794400000000005E-4</v>
      </c>
      <c r="BF56">
        <v>3.0897200000000002E-4</v>
      </c>
    </row>
    <row r="57" spans="1:101" x14ac:dyDescent="0.2">
      <c r="A57">
        <v>56</v>
      </c>
      <c r="B57" t="s">
        <v>170</v>
      </c>
      <c r="C57" t="s">
        <v>149</v>
      </c>
      <c r="D57" t="s">
        <v>171</v>
      </c>
      <c r="E57" t="s">
        <v>151</v>
      </c>
      <c r="F57" t="s">
        <v>157</v>
      </c>
      <c r="G57" t="s">
        <v>194</v>
      </c>
      <c r="H57">
        <v>2.4355650000000002E-3</v>
      </c>
      <c r="I57" s="1">
        <v>1.32096E-5</v>
      </c>
      <c r="J57">
        <f t="shared" si="0"/>
        <v>1.492262099887367</v>
      </c>
      <c r="K57">
        <f t="shared" si="1"/>
        <v>0.83072250794115632</v>
      </c>
      <c r="L57">
        <v>26</v>
      </c>
      <c r="M57" t="s">
        <v>154</v>
      </c>
      <c r="O57">
        <v>2.378378E-3</v>
      </c>
      <c r="P57" s="1">
        <v>6.8243200000000004E-5</v>
      </c>
      <c r="Q57">
        <v>2.1116200000000001E-4</v>
      </c>
      <c r="R57">
        <v>2.6927079999999998E-3</v>
      </c>
      <c r="S57">
        <v>3.4375E-3</v>
      </c>
      <c r="T57" s="1">
        <v>1.8156799999999999E-5</v>
      </c>
      <c r="U57">
        <v>1.6495119999999999E-3</v>
      </c>
      <c r="W57">
        <v>3.89522E-3</v>
      </c>
      <c r="Y57">
        <v>2.8964139999999999E-3</v>
      </c>
      <c r="Z57">
        <v>2.3171310000000001E-3</v>
      </c>
      <c r="AA57">
        <v>2.3171310000000001E-3</v>
      </c>
      <c r="AB57">
        <v>2.3171310000000001E-3</v>
      </c>
      <c r="AC57">
        <v>2.3171310000000001E-3</v>
      </c>
      <c r="AJ57">
        <v>1.80328E-4</v>
      </c>
      <c r="AR57">
        <v>5.7037040000000004E-3</v>
      </c>
      <c r="AS57">
        <v>1.8700000000000001E-2</v>
      </c>
      <c r="AV57">
        <v>4.6588239999999998E-3</v>
      </c>
      <c r="AW57">
        <v>1.8333299999999999E-4</v>
      </c>
      <c r="AX57">
        <v>1.8333299999999999E-4</v>
      </c>
      <c r="AZ57">
        <v>1.1000000000000001E-3</v>
      </c>
      <c r="BA57">
        <v>1.1000000000000001E-3</v>
      </c>
      <c r="BB57">
        <v>1.1000000000000001E-3</v>
      </c>
      <c r="BC57">
        <v>1.1000000000000001E-3</v>
      </c>
      <c r="BD57">
        <v>1.1000000000000001E-3</v>
      </c>
      <c r="BE57">
        <v>1.30719E-3</v>
      </c>
      <c r="BF57">
        <v>3.9215700000000002E-4</v>
      </c>
    </row>
    <row r="58" spans="1:101" x14ac:dyDescent="0.2">
      <c r="A58">
        <v>57</v>
      </c>
      <c r="B58" t="s">
        <v>170</v>
      </c>
      <c r="C58" t="s">
        <v>149</v>
      </c>
      <c r="D58" t="s">
        <v>171</v>
      </c>
      <c r="E58" t="s">
        <v>151</v>
      </c>
      <c r="F58" t="s">
        <v>157</v>
      </c>
      <c r="G58" t="s">
        <v>195</v>
      </c>
      <c r="H58">
        <v>3.5152270000000001E-3</v>
      </c>
      <c r="I58" s="1">
        <v>9.1029599999999997E-6</v>
      </c>
      <c r="J58">
        <f t="shared" si="0"/>
        <v>0.85829768636069104</v>
      </c>
      <c r="K58">
        <f t="shared" si="1"/>
        <v>0.65129639719812604</v>
      </c>
      <c r="L58">
        <v>11</v>
      </c>
      <c r="M58" t="s">
        <v>154</v>
      </c>
      <c r="N58">
        <v>2.4584619999999998E-3</v>
      </c>
      <c r="O58" s="1">
        <v>1.13716E-5</v>
      </c>
      <c r="AG58">
        <v>5.7120000000000002E-5</v>
      </c>
      <c r="AJ58">
        <v>1.6721300000000001E-4</v>
      </c>
      <c r="AZ58">
        <v>6.5279999999999999E-3</v>
      </c>
      <c r="BA58">
        <v>6.5279999999999999E-3</v>
      </c>
      <c r="BB58">
        <v>6.5279999999999999E-3</v>
      </c>
      <c r="BC58">
        <v>6.5279999999999999E-3</v>
      </c>
      <c r="BD58">
        <v>6.5279999999999999E-3</v>
      </c>
      <c r="BE58">
        <v>2.7272730000000001E-3</v>
      </c>
      <c r="BF58">
        <v>6.0606099999999997E-4</v>
      </c>
    </row>
    <row r="59" spans="1:101" x14ac:dyDescent="0.2">
      <c r="A59">
        <v>58</v>
      </c>
      <c r="B59" t="s">
        <v>170</v>
      </c>
      <c r="C59" t="s">
        <v>149</v>
      </c>
      <c r="D59" t="s">
        <v>196</v>
      </c>
      <c r="E59" t="s">
        <v>151</v>
      </c>
      <c r="F59" t="s">
        <v>157</v>
      </c>
      <c r="G59" t="s">
        <v>197</v>
      </c>
      <c r="H59">
        <v>8.9644670000000003E-3</v>
      </c>
      <c r="I59" s="1">
        <v>2.4235300000000002E-5</v>
      </c>
      <c r="J59">
        <f t="shared" si="0"/>
        <v>0.54916105059841402</v>
      </c>
      <c r="K59">
        <f t="shared" si="1"/>
        <v>0.48135407302120448</v>
      </c>
      <c r="L59">
        <v>88</v>
      </c>
      <c r="M59" t="s">
        <v>154</v>
      </c>
      <c r="N59">
        <v>1.9710467999999998E-2</v>
      </c>
      <c r="O59">
        <v>2.0044543000000001E-2</v>
      </c>
      <c r="P59">
        <v>1.5033408E-2</v>
      </c>
      <c r="Q59">
        <v>1.3363029E-2</v>
      </c>
      <c r="R59">
        <v>1.3697104999999999E-2</v>
      </c>
      <c r="S59">
        <v>1.4699332000000001E-2</v>
      </c>
      <c r="T59">
        <v>1.5367482999999999E-2</v>
      </c>
      <c r="U59">
        <v>1.5367482999999999E-2</v>
      </c>
      <c r="V59">
        <v>1.5701559E-2</v>
      </c>
      <c r="W59">
        <v>1.5367482999999999E-2</v>
      </c>
      <c r="X59">
        <v>9.7752810000000002E-3</v>
      </c>
      <c r="Y59">
        <v>1.1123595999999999E-2</v>
      </c>
      <c r="Z59">
        <v>1.2471909999999999E-2</v>
      </c>
      <c r="AA59">
        <v>1.6348314999999999E-2</v>
      </c>
      <c r="AB59">
        <v>7.6219510000000001E-3</v>
      </c>
      <c r="AC59">
        <v>4.3067230000000001E-3</v>
      </c>
      <c r="AD59">
        <v>2.62605E-3</v>
      </c>
      <c r="AE59">
        <v>3.0462179999999998E-3</v>
      </c>
      <c r="AF59">
        <v>4.4117649999999998E-3</v>
      </c>
      <c r="AG59">
        <v>5.1470589999999998E-3</v>
      </c>
      <c r="AH59">
        <v>4.3067230000000001E-3</v>
      </c>
      <c r="AI59">
        <v>3.1512609999999998E-3</v>
      </c>
      <c r="AJ59">
        <v>3.2563029999999999E-3</v>
      </c>
      <c r="AK59">
        <v>3.2563029999999999E-3</v>
      </c>
      <c r="AL59">
        <v>3.6764710000000002E-3</v>
      </c>
      <c r="AM59">
        <v>1.2601625999999999E-2</v>
      </c>
      <c r="AN59">
        <v>1.3987869999999999E-2</v>
      </c>
      <c r="AO59">
        <v>1.5238817E-2</v>
      </c>
      <c r="AP59">
        <v>1.5693707000000001E-2</v>
      </c>
      <c r="AQ59">
        <v>1.2234637E-2</v>
      </c>
      <c r="AR59">
        <v>1.5957447E-2</v>
      </c>
      <c r="AS59">
        <v>1.5478723E-2</v>
      </c>
      <c r="AT59">
        <v>1.5478723E-2</v>
      </c>
      <c r="AU59">
        <v>1.6755319000000001E-2</v>
      </c>
      <c r="AV59">
        <v>1.6914894E-2</v>
      </c>
      <c r="AW59">
        <v>6.8181819999999999E-3</v>
      </c>
      <c r="AX59">
        <v>5.4545449999999999E-3</v>
      </c>
      <c r="AY59">
        <v>5.4545449999999999E-3</v>
      </c>
      <c r="AZ59">
        <v>2.7272730000000001E-3</v>
      </c>
      <c r="BA59">
        <v>2.7272730000000001E-3</v>
      </c>
      <c r="BB59">
        <v>6.4400719999999998E-3</v>
      </c>
      <c r="BC59">
        <v>6.3506259999999998E-3</v>
      </c>
      <c r="BD59">
        <v>6.4400719999999998E-3</v>
      </c>
      <c r="BE59">
        <v>6.5295170000000003E-3</v>
      </c>
      <c r="BF59">
        <v>1.3530327E-2</v>
      </c>
      <c r="BG59">
        <v>3.3352019999999998E-3</v>
      </c>
      <c r="BH59">
        <v>6.5088760000000002E-3</v>
      </c>
      <c r="BI59">
        <v>7.248521E-3</v>
      </c>
      <c r="BJ59">
        <v>7.3964499999999997E-3</v>
      </c>
      <c r="BK59">
        <v>6.0650890000000001E-3</v>
      </c>
      <c r="BL59">
        <v>6.3653140000000004E-3</v>
      </c>
      <c r="BM59">
        <v>6.9188189999999997E-3</v>
      </c>
      <c r="BN59">
        <v>7.1955719999999999E-3</v>
      </c>
      <c r="BO59">
        <v>8.5793359999999999E-3</v>
      </c>
      <c r="BP59">
        <v>8.8560889999999993E-3</v>
      </c>
      <c r="BQ59">
        <v>5.2529179999999997E-3</v>
      </c>
      <c r="BR59">
        <v>5.8365759999999996E-3</v>
      </c>
      <c r="BS59">
        <v>2.9182879999999998E-3</v>
      </c>
      <c r="BT59">
        <v>1.7509730000000001E-3</v>
      </c>
      <c r="BU59">
        <v>4.6692610000000001E-3</v>
      </c>
      <c r="BV59">
        <v>4.9472300000000004E-3</v>
      </c>
      <c r="BW59">
        <v>4.9472300000000004E-3</v>
      </c>
      <c r="BX59">
        <v>5.3430079999999998E-3</v>
      </c>
      <c r="BY59">
        <v>5.5408970000000004E-3</v>
      </c>
      <c r="BZ59">
        <v>5.5408970000000004E-3</v>
      </c>
      <c r="CA59">
        <v>5.3430079999999998E-3</v>
      </c>
      <c r="CB59">
        <v>6.5303430000000001E-3</v>
      </c>
      <c r="CC59">
        <v>8.1134559999999998E-3</v>
      </c>
      <c r="CD59">
        <v>6.5637070000000002E-3</v>
      </c>
      <c r="CE59">
        <v>8.6872589999999993E-3</v>
      </c>
      <c r="CF59">
        <v>8.6872589999999993E-3</v>
      </c>
      <c r="CG59">
        <v>8.8803089999999994E-3</v>
      </c>
      <c r="CH59">
        <v>1.6793893000000001E-2</v>
      </c>
      <c r="CI59">
        <v>1.7175573E-2</v>
      </c>
      <c r="CJ59">
        <v>1.3740458000000001E-2</v>
      </c>
      <c r="CK59">
        <v>1.4503817E-2</v>
      </c>
      <c r="CL59">
        <v>1.2213740000000001E-2</v>
      </c>
      <c r="CM59">
        <v>3.1177829999999998E-3</v>
      </c>
      <c r="CN59">
        <v>3.8106239999999999E-3</v>
      </c>
      <c r="CO59">
        <v>4.1570440000000004E-3</v>
      </c>
      <c r="CP59">
        <v>4.3302540000000004E-3</v>
      </c>
      <c r="CQ59">
        <v>4.1570440000000004E-3</v>
      </c>
      <c r="CR59">
        <v>1.7396450000000001E-2</v>
      </c>
      <c r="CS59">
        <v>6.5624999999999998E-3</v>
      </c>
      <c r="CT59">
        <v>8.6400000000000001E-3</v>
      </c>
      <c r="CU59">
        <v>8.8800000000000007E-3</v>
      </c>
      <c r="CV59">
        <v>9.5999999999999992E-3</v>
      </c>
      <c r="CW59">
        <v>1.008E-2</v>
      </c>
    </row>
    <row r="60" spans="1:101" x14ac:dyDescent="0.2">
      <c r="A60">
        <v>59</v>
      </c>
      <c r="B60" t="s">
        <v>170</v>
      </c>
      <c r="C60" t="s">
        <v>149</v>
      </c>
      <c r="D60" t="s">
        <v>196</v>
      </c>
      <c r="E60" t="s">
        <v>151</v>
      </c>
      <c r="F60" t="s">
        <v>157</v>
      </c>
      <c r="G60" t="s">
        <v>198</v>
      </c>
      <c r="H60">
        <v>2.124113E-3</v>
      </c>
      <c r="I60" s="1">
        <v>1.8110999999999999E-6</v>
      </c>
      <c r="J60">
        <f t="shared" si="0"/>
        <v>0.63356853161502547</v>
      </c>
      <c r="K60">
        <f t="shared" si="1"/>
        <v>0.5351938745852316</v>
      </c>
      <c r="L60">
        <v>87</v>
      </c>
      <c r="M60" t="s">
        <v>154</v>
      </c>
      <c r="N60">
        <v>1.648107E-3</v>
      </c>
      <c r="O60">
        <v>1.812918E-3</v>
      </c>
      <c r="P60">
        <v>1.812918E-3</v>
      </c>
      <c r="Q60">
        <v>1.812918E-3</v>
      </c>
      <c r="R60">
        <v>1.9777280000000002E-3</v>
      </c>
      <c r="S60">
        <v>1.9777280000000002E-3</v>
      </c>
      <c r="T60">
        <v>2.1425390000000002E-3</v>
      </c>
      <c r="U60">
        <v>2.0601339999999999E-3</v>
      </c>
      <c r="V60">
        <v>2.224944E-3</v>
      </c>
      <c r="W60">
        <v>2.224944E-3</v>
      </c>
      <c r="X60">
        <v>2.1202249999999999E-3</v>
      </c>
      <c r="Y60">
        <v>3.3674159999999998E-3</v>
      </c>
      <c r="Z60">
        <v>3.575281E-3</v>
      </c>
      <c r="AA60">
        <v>3.6584270000000001E-3</v>
      </c>
      <c r="AB60">
        <v>8.2723599999999997E-4</v>
      </c>
      <c r="AC60">
        <v>1.5546220000000001E-3</v>
      </c>
      <c r="AD60">
        <v>1.243697E-3</v>
      </c>
      <c r="AE60">
        <v>1.39916E-3</v>
      </c>
      <c r="AF60">
        <v>1.6582630000000001E-3</v>
      </c>
      <c r="AG60">
        <v>1.735994E-3</v>
      </c>
      <c r="AH60">
        <v>1.735994E-3</v>
      </c>
      <c r="AI60">
        <v>1.010504E-3</v>
      </c>
      <c r="AJ60">
        <v>1.243697E-3</v>
      </c>
      <c r="AK60">
        <v>1.1659660000000001E-3</v>
      </c>
      <c r="AL60">
        <v>1.3473389999999999E-3</v>
      </c>
      <c r="AM60">
        <v>7.0189700000000002E-3</v>
      </c>
      <c r="AN60">
        <v>2.8051550000000001E-3</v>
      </c>
      <c r="AO60">
        <v>3.0856709999999999E-3</v>
      </c>
      <c r="AP60">
        <v>3.0576190000000001E-3</v>
      </c>
      <c r="AQ60">
        <v>3.2659220000000001E-3</v>
      </c>
      <c r="AR60">
        <v>2.8340430000000001E-3</v>
      </c>
      <c r="AS60">
        <v>2.4404259999999999E-3</v>
      </c>
      <c r="AT60">
        <v>2.4404259999999999E-3</v>
      </c>
      <c r="AU60">
        <v>2.755319E-3</v>
      </c>
      <c r="AV60">
        <v>2.7946809999999998E-3</v>
      </c>
      <c r="AW60">
        <v>3.027273E-3</v>
      </c>
      <c r="AX60">
        <v>2.690909E-3</v>
      </c>
      <c r="AY60">
        <v>2.690909E-3</v>
      </c>
      <c r="AZ60">
        <v>2.690909E-3</v>
      </c>
      <c r="BA60">
        <v>3.3636360000000001E-3</v>
      </c>
      <c r="BB60">
        <v>1.2576029999999999E-3</v>
      </c>
      <c r="BC60">
        <v>1.2576029999999999E-3</v>
      </c>
      <c r="BD60">
        <v>1.4782350000000001E-3</v>
      </c>
      <c r="BE60">
        <v>1.742993E-3</v>
      </c>
      <c r="BF60">
        <v>1.6111980000000001E-3</v>
      </c>
      <c r="BG60">
        <v>1.0300820000000001E-3</v>
      </c>
      <c r="BH60">
        <v>2.1893490000000002E-3</v>
      </c>
      <c r="BI60">
        <v>2.1893490000000002E-3</v>
      </c>
      <c r="BJ60">
        <v>2.2258379999999999E-3</v>
      </c>
      <c r="BK60">
        <v>2.1893490000000002E-3</v>
      </c>
      <c r="BL60">
        <v>8.8745399999999998E-4</v>
      </c>
      <c r="BM60">
        <v>1.774908E-3</v>
      </c>
      <c r="BN60">
        <v>1.979705E-3</v>
      </c>
      <c r="BO60">
        <v>2.1162360000000001E-3</v>
      </c>
      <c r="BP60">
        <v>2.1845020000000001E-3</v>
      </c>
      <c r="BQ60">
        <v>1.007782E-3</v>
      </c>
      <c r="BR60">
        <v>1.4396890000000001E-3</v>
      </c>
      <c r="BS60">
        <v>1.7276259999999999E-3</v>
      </c>
      <c r="BT60">
        <v>8.6381299999999995E-4</v>
      </c>
      <c r="BU60">
        <v>1.007782E-3</v>
      </c>
      <c r="BV60">
        <v>5.3693899999999995E-4</v>
      </c>
      <c r="BW60">
        <v>6.3456500000000002E-4</v>
      </c>
      <c r="BX60">
        <v>8.2981500000000002E-4</v>
      </c>
      <c r="BY60">
        <v>7.3218999999999997E-4</v>
      </c>
      <c r="BZ60">
        <v>7.3218999999999997E-4</v>
      </c>
      <c r="CA60">
        <v>5.3693899999999995E-4</v>
      </c>
      <c r="CB60">
        <v>7.8100299999999995E-4</v>
      </c>
      <c r="CC60">
        <v>1.562005E-3</v>
      </c>
      <c r="CD60">
        <v>6.6666700000000002E-4</v>
      </c>
      <c r="CE60">
        <v>1.238095E-3</v>
      </c>
      <c r="CF60">
        <v>1.2857140000000001E-3</v>
      </c>
      <c r="CG60">
        <v>1E-3</v>
      </c>
      <c r="CH60">
        <v>3.8600510000000002E-3</v>
      </c>
      <c r="CI60">
        <v>4.7073790000000003E-3</v>
      </c>
      <c r="CJ60">
        <v>6.1195930000000004E-3</v>
      </c>
      <c r="CK60">
        <v>5.9312979999999998E-3</v>
      </c>
      <c r="CL60">
        <v>7.4376590000000001E-3</v>
      </c>
      <c r="CM60">
        <v>1.1963049999999999E-3</v>
      </c>
      <c r="CN60">
        <v>1.4526560000000001E-3</v>
      </c>
      <c r="CO60">
        <v>1.666282E-3</v>
      </c>
      <c r="CP60">
        <v>1.9653579999999999E-3</v>
      </c>
      <c r="CQ60">
        <v>2.0935329999999999E-3</v>
      </c>
      <c r="CR60">
        <v>5.0355030000000002E-3</v>
      </c>
      <c r="CT60">
        <v>1.7168000000000001E-3</v>
      </c>
      <c r="CU60">
        <v>1.4208000000000001E-3</v>
      </c>
      <c r="CV60">
        <v>1.776E-3</v>
      </c>
      <c r="CW60">
        <v>1.4208000000000001E-3</v>
      </c>
    </row>
    <row r="61" spans="1:101" x14ac:dyDescent="0.2">
      <c r="A61">
        <v>60</v>
      </c>
      <c r="B61" t="s">
        <v>170</v>
      </c>
      <c r="C61" t="s">
        <v>149</v>
      </c>
      <c r="D61" t="s">
        <v>196</v>
      </c>
      <c r="E61" t="s">
        <v>151</v>
      </c>
      <c r="F61" t="s">
        <v>157</v>
      </c>
      <c r="G61" t="s">
        <v>199</v>
      </c>
      <c r="H61">
        <v>1.4477195E-2</v>
      </c>
      <c r="I61">
        <v>1.1377700000000001E-4</v>
      </c>
      <c r="J61">
        <f t="shared" si="0"/>
        <v>0.73678845993792497</v>
      </c>
      <c r="K61">
        <f t="shared" si="1"/>
        <v>0.59317104652343078</v>
      </c>
      <c r="L61">
        <v>48</v>
      </c>
      <c r="M61" t="s">
        <v>154</v>
      </c>
      <c r="X61">
        <v>5.7303370000000003E-3</v>
      </c>
      <c r="Y61">
        <v>7.4157299999999997E-3</v>
      </c>
      <c r="Z61">
        <v>7.4157299999999997E-3</v>
      </c>
      <c r="AC61">
        <v>2.7521008E-2</v>
      </c>
      <c r="AD61">
        <v>1.2464986000000001E-2</v>
      </c>
      <c r="AE61">
        <v>1.0994398000000001E-2</v>
      </c>
      <c r="AF61">
        <v>1.407563E-2</v>
      </c>
      <c r="AG61">
        <v>1.0644258E-2</v>
      </c>
      <c r="AH61">
        <v>5.7422970000000004E-3</v>
      </c>
      <c r="AI61">
        <v>6.9327729999999997E-3</v>
      </c>
      <c r="AL61">
        <v>1.2745098E-2</v>
      </c>
      <c r="AN61">
        <v>4.0940109999999998E-3</v>
      </c>
      <c r="AO61">
        <v>4.3972710000000003E-3</v>
      </c>
      <c r="AP61">
        <v>3.0325999999999999E-3</v>
      </c>
      <c r="AQ61">
        <v>1.3743017E-2</v>
      </c>
      <c r="AR61">
        <v>5.6382979999999999E-3</v>
      </c>
      <c r="AS61">
        <v>6.2765959999999997E-3</v>
      </c>
      <c r="AT61">
        <v>6.2765959999999997E-3</v>
      </c>
      <c r="AU61">
        <v>6.2765959999999997E-3</v>
      </c>
      <c r="AV61">
        <v>7.2340429999999999E-3</v>
      </c>
      <c r="AW61">
        <v>1.1818182E-2</v>
      </c>
      <c r="AX61">
        <v>1.0909090999999999E-2</v>
      </c>
      <c r="AY61">
        <v>1.7272727000000002E-2</v>
      </c>
      <c r="AZ61">
        <v>1.9090909E-2</v>
      </c>
      <c r="BA61">
        <v>1.9090909E-2</v>
      </c>
      <c r="BB61">
        <v>7.2152650000000002E-3</v>
      </c>
      <c r="BC61">
        <v>8.6463919999999993E-3</v>
      </c>
      <c r="BD61">
        <v>1.1926058E-2</v>
      </c>
      <c r="BE61">
        <v>1.1150864999999999E-2</v>
      </c>
      <c r="BG61">
        <v>4.8906949999999996E-3</v>
      </c>
      <c r="BH61">
        <v>1.1637081000000001E-2</v>
      </c>
      <c r="BI61">
        <v>3.6390533000000003E-2</v>
      </c>
      <c r="BJ61">
        <v>3.0571991999999999E-2</v>
      </c>
      <c r="BK61">
        <v>1.9723866E-2</v>
      </c>
      <c r="BQ61">
        <v>6.6147860000000001E-3</v>
      </c>
      <c r="BR61">
        <v>9.3385210000000007E-3</v>
      </c>
      <c r="BS61">
        <v>2.3346299999999999E-3</v>
      </c>
      <c r="BT61">
        <v>8.949416E-3</v>
      </c>
      <c r="BU61">
        <v>6.6147860000000001E-3</v>
      </c>
      <c r="CH61">
        <v>1.7557251999999999E-2</v>
      </c>
      <c r="CI61">
        <v>1.7048345999999999E-2</v>
      </c>
      <c r="CJ61">
        <v>3.7150126999999998E-2</v>
      </c>
      <c r="CK61">
        <v>3.4096691999999998E-2</v>
      </c>
      <c r="CL61">
        <v>4.8854962000000002E-2</v>
      </c>
      <c r="CT61">
        <v>2.1760000000000002E-2</v>
      </c>
      <c r="CU61">
        <v>2.4639999999999999E-2</v>
      </c>
      <c r="CV61">
        <v>2.6880000000000001E-2</v>
      </c>
      <c r="CW61">
        <v>3.4079999999999999E-2</v>
      </c>
    </row>
    <row r="62" spans="1:101" x14ac:dyDescent="0.2">
      <c r="A62">
        <v>61</v>
      </c>
      <c r="B62" t="s">
        <v>170</v>
      </c>
      <c r="C62" t="s">
        <v>149</v>
      </c>
      <c r="D62" t="s">
        <v>196</v>
      </c>
      <c r="E62" t="s">
        <v>151</v>
      </c>
      <c r="F62" t="s">
        <v>157</v>
      </c>
      <c r="G62" t="s">
        <v>200</v>
      </c>
      <c r="H62">
        <v>5.4637649999999998E-3</v>
      </c>
      <c r="I62" s="1">
        <v>7.5860999999999998E-5</v>
      </c>
      <c r="J62">
        <f t="shared" si="0"/>
        <v>1.5941062695430788</v>
      </c>
      <c r="K62">
        <f t="shared" si="1"/>
        <v>0.84711737090468042</v>
      </c>
      <c r="L62">
        <v>18</v>
      </c>
      <c r="M62" t="s">
        <v>154</v>
      </c>
      <c r="BB62">
        <v>8.9445400000000004E-4</v>
      </c>
      <c r="BC62">
        <v>7.51342E-4</v>
      </c>
      <c r="BD62">
        <v>8.7656500000000005E-4</v>
      </c>
      <c r="BE62">
        <v>6.6189600000000003E-4</v>
      </c>
      <c r="BH62">
        <v>1.153846E-3</v>
      </c>
      <c r="BI62">
        <v>1.213018E-3</v>
      </c>
      <c r="BK62">
        <v>3.5502960000000001E-3</v>
      </c>
      <c r="CH62">
        <v>3.5114500000000002E-3</v>
      </c>
      <c r="CJ62">
        <v>1.0839695E-2</v>
      </c>
      <c r="CK62">
        <v>2.5190839999999999E-2</v>
      </c>
      <c r="CL62">
        <v>3.1221374E-2</v>
      </c>
      <c r="CM62">
        <v>5.0923790000000002E-3</v>
      </c>
      <c r="CN62">
        <v>3.4642029999999999E-3</v>
      </c>
      <c r="CO62">
        <v>3.4642029999999999E-3</v>
      </c>
      <c r="CP62">
        <v>3.4642029999999999E-3</v>
      </c>
      <c r="CQ62">
        <v>2.8060049999999999E-3</v>
      </c>
      <c r="CV62">
        <v>9.6000000000000002E-5</v>
      </c>
      <c r="CW62">
        <v>9.6000000000000002E-5</v>
      </c>
    </row>
    <row r="63" spans="1:101" x14ac:dyDescent="0.2">
      <c r="A63">
        <v>62</v>
      </c>
      <c r="B63" t="s">
        <v>170</v>
      </c>
      <c r="C63" t="s">
        <v>149</v>
      </c>
      <c r="D63" t="s">
        <v>196</v>
      </c>
      <c r="E63" t="s">
        <v>151</v>
      </c>
      <c r="F63" t="s">
        <v>157</v>
      </c>
      <c r="G63" t="s">
        <v>201</v>
      </c>
      <c r="H63">
        <v>5.0668509999999998E-3</v>
      </c>
      <c r="I63" s="1">
        <v>2.5692200000000001E-5</v>
      </c>
      <c r="J63">
        <f t="shared" si="0"/>
        <v>1.0003742718657751</v>
      </c>
      <c r="K63">
        <f t="shared" si="1"/>
        <v>0.70723906913647849</v>
      </c>
      <c r="L63">
        <v>37</v>
      </c>
      <c r="M63" t="s">
        <v>154</v>
      </c>
      <c r="W63">
        <v>1.0690400000000001E-4</v>
      </c>
      <c r="X63">
        <v>2.660674E-3</v>
      </c>
      <c r="Y63">
        <v>3.2539330000000001E-3</v>
      </c>
      <c r="Z63">
        <v>3.2539330000000001E-3</v>
      </c>
      <c r="AQ63">
        <v>3.0712849E-2</v>
      </c>
      <c r="AR63">
        <v>2.5361699999999999E-3</v>
      </c>
      <c r="AS63">
        <v>4.5276600000000002E-3</v>
      </c>
      <c r="AT63">
        <v>5.1744679999999998E-3</v>
      </c>
      <c r="AU63">
        <v>5.2085109999999999E-3</v>
      </c>
      <c r="AV63">
        <v>5.4808510000000001E-3</v>
      </c>
      <c r="AW63">
        <v>8.2909090000000008E-3</v>
      </c>
      <c r="AX63">
        <v>7.2727269999999997E-3</v>
      </c>
      <c r="AY63">
        <v>5.2363640000000003E-3</v>
      </c>
      <c r="AZ63">
        <v>5.8181819999999999E-3</v>
      </c>
      <c r="BA63">
        <v>6.1090909999999997E-3</v>
      </c>
      <c r="BB63">
        <v>1.3261779999999999E-3</v>
      </c>
      <c r="BC63">
        <v>1.9272510000000001E-3</v>
      </c>
      <c r="BD63">
        <v>2.8145499999999999E-3</v>
      </c>
      <c r="BE63">
        <v>1.173524E-3</v>
      </c>
      <c r="BG63">
        <v>8.9686099999999999E-4</v>
      </c>
      <c r="BH63">
        <v>6.863905E-3</v>
      </c>
      <c r="BI63">
        <v>1.0193294E-2</v>
      </c>
      <c r="BJ63">
        <v>6.4536489999999997E-3</v>
      </c>
      <c r="BK63">
        <v>2.9349110000000001E-3</v>
      </c>
      <c r="BQ63">
        <v>9.089494E-3</v>
      </c>
      <c r="BR63">
        <v>2.552529E-3</v>
      </c>
      <c r="BS63">
        <v>3.4863810000000002E-3</v>
      </c>
      <c r="BT63">
        <v>4.9182879999999998E-3</v>
      </c>
      <c r="BU63">
        <v>4.4824900000000004E-3</v>
      </c>
      <c r="CD63">
        <v>1.0090089999999999E-3</v>
      </c>
      <c r="CE63">
        <v>1.132561E-3</v>
      </c>
      <c r="CF63">
        <v>1.317889E-3</v>
      </c>
      <c r="CG63">
        <v>1.2767049999999999E-3</v>
      </c>
      <c r="CT63">
        <v>5.7600000000000004E-3</v>
      </c>
      <c r="CU63">
        <v>6.1951999999999997E-3</v>
      </c>
      <c r="CV63">
        <v>6.5792000000000003E-3</v>
      </c>
      <c r="CW63">
        <v>9.4464000000000006E-3</v>
      </c>
    </row>
    <row r="64" spans="1:101" x14ac:dyDescent="0.2">
      <c r="A64">
        <v>63</v>
      </c>
      <c r="B64" t="s">
        <v>170</v>
      </c>
      <c r="C64" t="s">
        <v>149</v>
      </c>
      <c r="D64" t="s">
        <v>196</v>
      </c>
      <c r="E64" t="s">
        <v>151</v>
      </c>
      <c r="F64" t="s">
        <v>157</v>
      </c>
      <c r="G64" t="s">
        <v>202</v>
      </c>
      <c r="H64">
        <v>3.9942650000000003E-3</v>
      </c>
      <c r="I64" s="1">
        <v>2.9787399999999999E-5</v>
      </c>
      <c r="J64">
        <f t="shared" si="0"/>
        <v>1.3664049412995634</v>
      </c>
      <c r="K64">
        <f t="shared" si="1"/>
        <v>0.8069764231679053</v>
      </c>
      <c r="L64">
        <v>27</v>
      </c>
      <c r="M64" t="s">
        <v>154</v>
      </c>
      <c r="AR64">
        <v>2.7978719999999999E-3</v>
      </c>
      <c r="AS64">
        <v>2.6595740000000001E-3</v>
      </c>
      <c r="AT64">
        <v>1.7978720000000001E-3</v>
      </c>
      <c r="AU64">
        <v>1.829787E-3</v>
      </c>
      <c r="AV64">
        <v>2.3404260000000001E-3</v>
      </c>
      <c r="AW64">
        <v>2.272727E-3</v>
      </c>
      <c r="AX64">
        <v>4.1818180000000003E-3</v>
      </c>
      <c r="AY64">
        <v>2.5454549999999999E-3</v>
      </c>
      <c r="AZ64">
        <v>2.7272730000000001E-3</v>
      </c>
      <c r="BA64">
        <v>3.272727E-3</v>
      </c>
      <c r="BB64">
        <v>5.7841399999999997E-4</v>
      </c>
      <c r="BC64">
        <v>3.0411400000000002E-4</v>
      </c>
      <c r="BD64">
        <v>5.6648799999999997E-4</v>
      </c>
      <c r="BE64">
        <v>3.6374500000000001E-4</v>
      </c>
      <c r="BG64">
        <v>1.401345E-3</v>
      </c>
      <c r="CH64">
        <v>4.5547069999999999E-3</v>
      </c>
      <c r="CI64">
        <v>4.0203560000000001E-3</v>
      </c>
      <c r="CJ64">
        <v>9.3384220000000007E-3</v>
      </c>
      <c r="CK64">
        <v>1.7989821999999999E-2</v>
      </c>
      <c r="CL64">
        <v>2.5139949000000002E-2</v>
      </c>
      <c r="CM64">
        <v>3.5912240000000001E-3</v>
      </c>
      <c r="CN64">
        <v>1.9630479999999998E-3</v>
      </c>
      <c r="CO64">
        <v>1.9630479999999998E-3</v>
      </c>
      <c r="CP64">
        <v>2.8868359999999998E-3</v>
      </c>
      <c r="CQ64">
        <v>3.9260969999999999E-3</v>
      </c>
      <c r="CU64">
        <v>1.5200000000000001E-3</v>
      </c>
      <c r="CW64">
        <v>1.312E-3</v>
      </c>
    </row>
    <row r="65" spans="1:101" x14ac:dyDescent="0.2">
      <c r="A65">
        <v>64</v>
      </c>
      <c r="B65" t="s">
        <v>170</v>
      </c>
      <c r="C65" t="s">
        <v>149</v>
      </c>
      <c r="D65" t="s">
        <v>196</v>
      </c>
      <c r="E65" t="s">
        <v>151</v>
      </c>
      <c r="F65" t="s">
        <v>157</v>
      </c>
      <c r="G65" t="s">
        <v>203</v>
      </c>
      <c r="H65">
        <v>2.6426084849999998</v>
      </c>
      <c r="I65">
        <v>7.0304281690000003</v>
      </c>
      <c r="J65">
        <f t="shared" si="0"/>
        <v>1.0033629552133947</v>
      </c>
      <c r="K65">
        <f t="shared" si="1"/>
        <v>0.70829277156814874</v>
      </c>
      <c r="L65">
        <v>19</v>
      </c>
      <c r="M65" t="s">
        <v>154</v>
      </c>
      <c r="X65">
        <v>3.1095505619999999</v>
      </c>
      <c r="Y65">
        <v>6.2191011239999998</v>
      </c>
      <c r="Z65">
        <v>6.2191011239999998</v>
      </c>
      <c r="AA65">
        <v>9.75</v>
      </c>
      <c r="AB65">
        <v>1.031504065</v>
      </c>
      <c r="AM65">
        <v>0.57588075900000002</v>
      </c>
      <c r="AN65">
        <v>0.79037149399999995</v>
      </c>
      <c r="AO65">
        <v>0.95147839300000003</v>
      </c>
      <c r="AP65">
        <v>1.413949962</v>
      </c>
      <c r="BF65">
        <v>6.0264385689999997</v>
      </c>
      <c r="BH65">
        <v>0.29339250500000003</v>
      </c>
      <c r="BI65">
        <v>0.34516765300000002</v>
      </c>
      <c r="BJ65">
        <v>0.38214990100000001</v>
      </c>
      <c r="BK65">
        <v>0.38954635100000001</v>
      </c>
      <c r="CD65">
        <v>1.8918918920000001</v>
      </c>
      <c r="CE65">
        <v>3.0566280570000002</v>
      </c>
      <c r="CF65">
        <v>3.2818532820000001</v>
      </c>
      <c r="CG65">
        <v>3.1531531529999999</v>
      </c>
      <c r="CR65">
        <v>1.328402367</v>
      </c>
    </row>
    <row r="66" spans="1:101" x14ac:dyDescent="0.2">
      <c r="A66">
        <v>65</v>
      </c>
      <c r="B66" t="s">
        <v>170</v>
      </c>
      <c r="C66" t="s">
        <v>149</v>
      </c>
      <c r="D66" t="s">
        <v>196</v>
      </c>
      <c r="E66" t="s">
        <v>151</v>
      </c>
      <c r="F66" t="s">
        <v>157</v>
      </c>
      <c r="G66" t="s">
        <v>204</v>
      </c>
      <c r="H66">
        <v>0.63263473999999997</v>
      </c>
      <c r="I66">
        <v>0.22194434699999999</v>
      </c>
      <c r="J66">
        <f t="shared" si="0"/>
        <v>0.74467882907701533</v>
      </c>
      <c r="K66">
        <f t="shared" si="1"/>
        <v>0.59726510278733524</v>
      </c>
      <c r="L66">
        <v>68</v>
      </c>
      <c r="M66" t="s">
        <v>154</v>
      </c>
      <c r="N66">
        <v>6.8151448000000003E-2</v>
      </c>
      <c r="O66">
        <v>7.1937638999999998E-2</v>
      </c>
      <c r="P66">
        <v>6.6258352000000006E-2</v>
      </c>
      <c r="Q66">
        <v>6.6258352000000006E-2</v>
      </c>
      <c r="R66">
        <v>6.0579065000000001E-2</v>
      </c>
      <c r="S66">
        <v>6.0579065000000001E-2</v>
      </c>
      <c r="T66">
        <v>5.6792873000000001E-2</v>
      </c>
      <c r="U66">
        <v>5.6792873000000001E-2</v>
      </c>
      <c r="V66">
        <v>1.8930959999999999E-3</v>
      </c>
      <c r="W66">
        <v>1.8930959999999999E-3</v>
      </c>
      <c r="X66">
        <v>1.047696629</v>
      </c>
      <c r="Y66">
        <v>1.311292135</v>
      </c>
      <c r="Z66">
        <v>1.311292135</v>
      </c>
      <c r="AA66">
        <v>2.317921348</v>
      </c>
      <c r="AB66">
        <v>0.32134146299999999</v>
      </c>
      <c r="AC66">
        <v>0.73392857099999997</v>
      </c>
      <c r="AD66">
        <v>0.616071429</v>
      </c>
      <c r="AE66">
        <v>0.66904761899999998</v>
      </c>
      <c r="AF66">
        <v>0.78511904799999999</v>
      </c>
      <c r="AG66">
        <v>0.69761904799999996</v>
      </c>
      <c r="AH66">
        <v>0.72619047599999997</v>
      </c>
      <c r="AI66">
        <v>0.76249999999999996</v>
      </c>
      <c r="AJ66">
        <v>0.70119047599999995</v>
      </c>
      <c r="AK66">
        <v>0.90833333299999997</v>
      </c>
      <c r="AL66">
        <v>0.93035714300000005</v>
      </c>
      <c r="AM66">
        <v>0.71409214099999996</v>
      </c>
      <c r="AQ66">
        <v>0.22033519600000001</v>
      </c>
      <c r="AR66">
        <v>1.112234043</v>
      </c>
      <c r="AS66">
        <v>1.2406382979999999</v>
      </c>
      <c r="AT66">
        <v>0.98563829800000002</v>
      </c>
      <c r="AU66">
        <v>1.001914894</v>
      </c>
      <c r="AV66">
        <v>1.0760638300000001</v>
      </c>
      <c r="AW66">
        <v>0.11590909100000001</v>
      </c>
      <c r="AX66">
        <v>0.13909090900000001</v>
      </c>
      <c r="AY66">
        <v>0.10045454500000001</v>
      </c>
      <c r="AZ66">
        <v>0.10045454500000001</v>
      </c>
      <c r="BA66">
        <v>0.10045454500000001</v>
      </c>
      <c r="BB66">
        <v>1.5073941559999999</v>
      </c>
      <c r="BC66">
        <v>1.0836612999999999</v>
      </c>
      <c r="BD66">
        <v>0.76636851500000003</v>
      </c>
      <c r="BE66">
        <v>0.88953488400000003</v>
      </c>
      <c r="BF66">
        <v>1.982892691</v>
      </c>
      <c r="BH66">
        <v>0.60438855999999996</v>
      </c>
      <c r="BI66">
        <v>0.62031558200000003</v>
      </c>
      <c r="BJ66">
        <v>0.49709072999999998</v>
      </c>
      <c r="BK66">
        <v>0.43338264300000001</v>
      </c>
      <c r="BQ66">
        <v>0.67801556399999996</v>
      </c>
      <c r="BR66">
        <v>0.91284046699999999</v>
      </c>
      <c r="BS66">
        <v>0.88968871599999999</v>
      </c>
      <c r="BT66">
        <v>0.70778210100000005</v>
      </c>
      <c r="BU66">
        <v>0.75077821</v>
      </c>
      <c r="BV66">
        <v>0.140171504</v>
      </c>
      <c r="BW66">
        <v>0.339775726</v>
      </c>
      <c r="BX66">
        <v>0.40369393100000001</v>
      </c>
      <c r="BY66">
        <v>0.46873350899999999</v>
      </c>
      <c r="BZ66">
        <v>0.49116094999999999</v>
      </c>
      <c r="CA66">
        <v>0.40705804699999998</v>
      </c>
      <c r="CB66">
        <v>0.43172823199999999</v>
      </c>
      <c r="CC66">
        <v>0.59208443300000002</v>
      </c>
      <c r="CD66">
        <v>0.109395109</v>
      </c>
      <c r="CE66">
        <v>0.38288288300000001</v>
      </c>
      <c r="CF66">
        <v>0.41351351400000003</v>
      </c>
      <c r="CG66">
        <v>0.45070785099999999</v>
      </c>
      <c r="CR66">
        <v>0.90532544400000003</v>
      </c>
      <c r="CT66">
        <v>0.84184000000000003</v>
      </c>
      <c r="CU66">
        <v>0.92888000000000004</v>
      </c>
      <c r="CV66">
        <v>1.0145599999999999</v>
      </c>
      <c r="CW66">
        <v>1.1152</v>
      </c>
    </row>
    <row r="67" spans="1:101" x14ac:dyDescent="0.2">
      <c r="A67">
        <v>66</v>
      </c>
      <c r="B67" t="s">
        <v>170</v>
      </c>
      <c r="C67" t="s">
        <v>149</v>
      </c>
      <c r="D67" t="s">
        <v>196</v>
      </c>
      <c r="E67" t="s">
        <v>151</v>
      </c>
      <c r="F67" t="s">
        <v>157</v>
      </c>
      <c r="G67" t="s">
        <v>205</v>
      </c>
      <c r="H67">
        <v>0.54966179199999998</v>
      </c>
      <c r="I67">
        <v>0.23525890699999999</v>
      </c>
      <c r="J67">
        <f t="shared" ref="J67:J130" si="2">SQRT(I67)/H67</f>
        <v>0.882424358887409</v>
      </c>
      <c r="K67">
        <f t="shared" ref="K67:K130" si="3">SQRT(J67^2/(1+J67^2))</f>
        <v>0.66165174529644699</v>
      </c>
      <c r="L67">
        <v>87</v>
      </c>
      <c r="M67" t="s">
        <v>154</v>
      </c>
      <c r="N67">
        <v>2.1332204899999998</v>
      </c>
      <c r="O67">
        <v>2.1851581289999999</v>
      </c>
      <c r="P67">
        <v>0.306904232</v>
      </c>
      <c r="Q67">
        <v>0.26913140299999999</v>
      </c>
      <c r="R67">
        <v>0.28329621399999999</v>
      </c>
      <c r="S67">
        <v>0.33051224899999998</v>
      </c>
      <c r="T67">
        <v>0.35412026699999999</v>
      </c>
      <c r="U67">
        <v>0.38764365299999998</v>
      </c>
      <c r="V67">
        <v>0.35553674800000001</v>
      </c>
      <c r="W67">
        <v>0.35553674800000001</v>
      </c>
      <c r="X67">
        <v>0.16817078699999999</v>
      </c>
      <c r="Y67">
        <v>0.28488988799999998</v>
      </c>
      <c r="Z67">
        <v>0.28488988799999998</v>
      </c>
      <c r="AA67">
        <v>0.568350562</v>
      </c>
      <c r="AB67">
        <v>0.22320325199999999</v>
      </c>
      <c r="AC67">
        <v>0.27242296900000001</v>
      </c>
      <c r="AD67">
        <v>0.231448179</v>
      </c>
      <c r="AE67">
        <v>0.28934733899999998</v>
      </c>
      <c r="AF67">
        <v>0.23560504199999999</v>
      </c>
      <c r="AG67">
        <v>0.240058824</v>
      </c>
      <c r="AH67">
        <v>0.27880672299999998</v>
      </c>
      <c r="AI67">
        <v>0.28504201699999998</v>
      </c>
      <c r="AJ67">
        <v>0.27494677899999997</v>
      </c>
      <c r="AK67">
        <v>0.28934733899999998</v>
      </c>
      <c r="AL67">
        <v>0.28222128899999999</v>
      </c>
      <c r="AM67">
        <v>4.5962059999999999E-2</v>
      </c>
      <c r="AN67">
        <v>0.89621834700000003</v>
      </c>
      <c r="AO67">
        <v>0.91534495800000004</v>
      </c>
      <c r="AP67">
        <v>0.92531008299999995</v>
      </c>
      <c r="AQ67">
        <v>0.30840670399999998</v>
      </c>
      <c r="AR67">
        <v>0.98016170199999997</v>
      </c>
      <c r="AS67">
        <v>0.74718723399999998</v>
      </c>
      <c r="AT67">
        <v>0.79297021300000003</v>
      </c>
      <c r="AU67">
        <v>0.79342127699999998</v>
      </c>
      <c r="AV67">
        <v>0.81146383</v>
      </c>
      <c r="AW67">
        <v>4.0472727E-2</v>
      </c>
      <c r="AX67">
        <v>4.6254545000000001E-2</v>
      </c>
      <c r="AY67">
        <v>4.4327273E-2</v>
      </c>
      <c r="AZ67">
        <v>4.4327273E-2</v>
      </c>
      <c r="BA67">
        <v>4.8181818000000001E-2</v>
      </c>
      <c r="BB67">
        <v>0.35345975000000002</v>
      </c>
      <c r="BC67">
        <v>0.34170304099999999</v>
      </c>
      <c r="BD67">
        <v>0.31654621300000002</v>
      </c>
      <c r="BE67">
        <v>0.21718306500000001</v>
      </c>
      <c r="BF67">
        <v>0.10319751200000001</v>
      </c>
      <c r="BG67">
        <v>0.11883408099999999</v>
      </c>
      <c r="BH67">
        <v>0.57662327400000002</v>
      </c>
      <c r="BI67">
        <v>0.63328205100000001</v>
      </c>
      <c r="BJ67">
        <v>0.39326627199999997</v>
      </c>
      <c r="BK67">
        <v>0.45117948699999999</v>
      </c>
      <c r="BL67">
        <v>0.21278228800000001</v>
      </c>
      <c r="BM67">
        <v>0.34890036899999999</v>
      </c>
      <c r="BN67">
        <v>0.37628044300000002</v>
      </c>
      <c r="BO67">
        <v>0.34890036899999999</v>
      </c>
      <c r="BP67">
        <v>0.42399999999999999</v>
      </c>
      <c r="BQ67">
        <v>0.68301945500000005</v>
      </c>
      <c r="BR67">
        <v>0.69786770399999998</v>
      </c>
      <c r="BS67">
        <v>0.55680933899999996</v>
      </c>
      <c r="BT67">
        <v>0.66322179000000003</v>
      </c>
      <c r="BU67">
        <v>0.678894942</v>
      </c>
      <c r="BV67">
        <v>0.23213720299999999</v>
      </c>
      <c r="BW67">
        <v>0.39015831099999998</v>
      </c>
      <c r="BX67">
        <v>0.506226913</v>
      </c>
      <c r="BY67">
        <v>0.515456464</v>
      </c>
      <c r="BZ67">
        <v>0.62565171500000005</v>
      </c>
      <c r="CA67">
        <v>0.49000527700000002</v>
      </c>
      <c r="CB67">
        <v>0.51741424800000002</v>
      </c>
      <c r="CC67">
        <v>0.62117678099999996</v>
      </c>
      <c r="CD67">
        <v>0.123325611</v>
      </c>
      <c r="CE67">
        <v>0.133693694</v>
      </c>
      <c r="CF67">
        <v>0.15279279300000001</v>
      </c>
      <c r="CG67">
        <v>0.158249678</v>
      </c>
      <c r="CH67">
        <v>1.2099643769999999</v>
      </c>
      <c r="CI67">
        <v>1.1684274809999999</v>
      </c>
      <c r="CJ67">
        <v>1.5897302799999999</v>
      </c>
      <c r="CK67">
        <v>1.844346056</v>
      </c>
      <c r="CL67">
        <v>1.585414758</v>
      </c>
      <c r="CM67">
        <v>1.1846050809999999</v>
      </c>
      <c r="CN67">
        <v>1.1016166279999999</v>
      </c>
      <c r="CO67">
        <v>1.1016166279999999</v>
      </c>
      <c r="CP67">
        <v>1.1750577369999999</v>
      </c>
      <c r="CQ67">
        <v>1.3709006930000001</v>
      </c>
      <c r="CR67">
        <v>2.007100592</v>
      </c>
      <c r="CT67">
        <v>0.17502719999999999</v>
      </c>
      <c r="CU67">
        <v>0.20521600000000001</v>
      </c>
      <c r="CV67">
        <v>0.2282816</v>
      </c>
      <c r="CW67">
        <v>0.30120960000000002</v>
      </c>
    </row>
    <row r="68" spans="1:101" x14ac:dyDescent="0.2">
      <c r="A68">
        <v>67</v>
      </c>
      <c r="B68" t="s">
        <v>170</v>
      </c>
      <c r="C68" t="s">
        <v>149</v>
      </c>
      <c r="D68" t="s">
        <v>196</v>
      </c>
      <c r="E68" t="s">
        <v>151</v>
      </c>
      <c r="F68" t="s">
        <v>157</v>
      </c>
      <c r="G68" t="s">
        <v>206</v>
      </c>
      <c r="H68">
        <v>0.26765397499999999</v>
      </c>
      <c r="I68">
        <v>0.13106878499999999</v>
      </c>
      <c r="J68">
        <f t="shared" si="2"/>
        <v>1.3526204189826927</v>
      </c>
      <c r="K68">
        <f t="shared" si="3"/>
        <v>0.80410876728552427</v>
      </c>
      <c r="L68">
        <v>69</v>
      </c>
      <c r="M68" t="s">
        <v>154</v>
      </c>
      <c r="N68">
        <v>1.647467706</v>
      </c>
      <c r="O68">
        <v>1.657253898</v>
      </c>
      <c r="P68">
        <v>0.17314031199999999</v>
      </c>
      <c r="Q68">
        <v>0.184432071</v>
      </c>
      <c r="R68">
        <v>0.18819599100000001</v>
      </c>
      <c r="S68">
        <v>0.131737194</v>
      </c>
      <c r="T68">
        <v>0.20701559</v>
      </c>
      <c r="U68">
        <v>0.24239643699999999</v>
      </c>
      <c r="V68">
        <v>0.19497104700000001</v>
      </c>
      <c r="W68">
        <v>0.19497104700000001</v>
      </c>
      <c r="AC68">
        <v>4.8049019999999998E-2</v>
      </c>
      <c r="AD68">
        <v>1.2544817999999999E-2</v>
      </c>
      <c r="AE68">
        <v>3.6924369999999998E-2</v>
      </c>
      <c r="AF68">
        <v>4.7102241000000003E-2</v>
      </c>
      <c r="AG68">
        <v>5.2664566000000003E-2</v>
      </c>
      <c r="AH68">
        <v>2.4261204000000001E-2</v>
      </c>
      <c r="AI68">
        <v>3.1835434000000003E-2</v>
      </c>
      <c r="AJ68">
        <v>2.7929972000000001E-2</v>
      </c>
      <c r="AK68">
        <v>4.3906862999999997E-2</v>
      </c>
      <c r="AL68">
        <v>4.2368347000000001E-2</v>
      </c>
      <c r="AN68">
        <v>4.0103867000000001E-2</v>
      </c>
      <c r="AO68">
        <v>4.0103867000000001E-2</v>
      </c>
      <c r="AP68">
        <v>5.9707353999999997E-2</v>
      </c>
      <c r="AW68">
        <v>9.5254544999999996E-2</v>
      </c>
      <c r="AX68">
        <v>8.2963635999999993E-2</v>
      </c>
      <c r="AY68">
        <v>9.5254544999999996E-2</v>
      </c>
      <c r="AZ68">
        <v>9.6790908999999994E-2</v>
      </c>
      <c r="BA68">
        <v>0.1014</v>
      </c>
      <c r="BB68">
        <v>2.5596898999999999E-2</v>
      </c>
      <c r="BC68">
        <v>1.3302326E-2</v>
      </c>
      <c r="BD68">
        <v>2.8720929999999999E-2</v>
      </c>
      <c r="BE68">
        <v>2.3379845E-2</v>
      </c>
      <c r="BG68">
        <v>9.4730941999999999E-2</v>
      </c>
      <c r="BH68">
        <v>2.3E-2</v>
      </c>
      <c r="BI68">
        <v>8.6666669999999994E-3</v>
      </c>
      <c r="BJ68">
        <v>9.8333329999999997E-3</v>
      </c>
      <c r="BK68">
        <v>1.2166667000000001E-2</v>
      </c>
      <c r="BL68">
        <v>0.30713099599999999</v>
      </c>
      <c r="BM68">
        <v>0.40971586700000001</v>
      </c>
      <c r="BN68">
        <v>0.46989483399999998</v>
      </c>
      <c r="BO68">
        <v>0.60023062699999996</v>
      </c>
      <c r="BP68">
        <v>0.61145572000000004</v>
      </c>
      <c r="BQ68">
        <v>7.3649804999999999E-2</v>
      </c>
      <c r="BR68">
        <v>4.2743191E-2</v>
      </c>
      <c r="BS68">
        <v>5.9182879000000001E-2</v>
      </c>
      <c r="BT68">
        <v>0.14203891099999999</v>
      </c>
      <c r="BU68">
        <v>0.12165369600000001</v>
      </c>
      <c r="BV68">
        <v>5.7076517E-2</v>
      </c>
      <c r="BW68">
        <v>0.150048813</v>
      </c>
      <c r="BX68">
        <v>0.18215435399999999</v>
      </c>
      <c r="BY68">
        <v>0.193302111</v>
      </c>
      <c r="BZ68">
        <v>0.30165831100000001</v>
      </c>
      <c r="CA68">
        <v>0.28359894499999999</v>
      </c>
      <c r="CB68">
        <v>0.26754617400000003</v>
      </c>
      <c r="CC68">
        <v>0.30856992100000002</v>
      </c>
      <c r="CH68">
        <v>0.29585750599999999</v>
      </c>
      <c r="CI68">
        <v>0.43303562299999998</v>
      </c>
      <c r="CJ68">
        <v>0.79081679400000005</v>
      </c>
      <c r="CK68">
        <v>1.138707379</v>
      </c>
      <c r="CL68">
        <v>0.83682951699999997</v>
      </c>
      <c r="CM68">
        <v>0.74742494199999998</v>
      </c>
      <c r="CN68">
        <v>0.80011547299999997</v>
      </c>
      <c r="CO68">
        <v>0.80011547299999997</v>
      </c>
      <c r="CP68">
        <v>0.83914549699999996</v>
      </c>
      <c r="CQ68">
        <v>0.93281755200000005</v>
      </c>
      <c r="CT68">
        <v>3.9478399999999997E-2</v>
      </c>
      <c r="CU68">
        <v>5.1916799999999999E-2</v>
      </c>
      <c r="CV68">
        <v>6.3273599999999999E-2</v>
      </c>
      <c r="CW68">
        <v>7.6793600000000004E-2</v>
      </c>
    </row>
    <row r="69" spans="1:101" x14ac:dyDescent="0.2">
      <c r="A69">
        <v>68</v>
      </c>
      <c r="B69" t="s">
        <v>170</v>
      </c>
      <c r="C69" t="s">
        <v>149</v>
      </c>
      <c r="D69" t="s">
        <v>196</v>
      </c>
      <c r="E69" t="s">
        <v>151</v>
      </c>
      <c r="F69" t="s">
        <v>157</v>
      </c>
      <c r="G69" t="s">
        <v>207</v>
      </c>
      <c r="H69">
        <v>0.39843583300000002</v>
      </c>
      <c r="I69">
        <v>0.14767828899999999</v>
      </c>
      <c r="J69">
        <f t="shared" si="2"/>
        <v>0.96449490225049339</v>
      </c>
      <c r="K69">
        <f t="shared" si="3"/>
        <v>0.69421358669682409</v>
      </c>
      <c r="L69">
        <v>84</v>
      </c>
      <c r="M69" t="s">
        <v>154</v>
      </c>
      <c r="N69">
        <v>0.84622939900000005</v>
      </c>
      <c r="O69">
        <v>1.0221091309999999</v>
      </c>
      <c r="P69">
        <v>0.79086859700000001</v>
      </c>
      <c r="Q69">
        <v>0.69643652599999994</v>
      </c>
      <c r="R69">
        <v>0.70824053499999995</v>
      </c>
      <c r="S69">
        <v>0.767260579</v>
      </c>
      <c r="T69">
        <v>0.82628062400000002</v>
      </c>
      <c r="U69">
        <v>0.87349665899999995</v>
      </c>
      <c r="V69">
        <v>0.84245211600000003</v>
      </c>
      <c r="W69">
        <v>0.84245211600000003</v>
      </c>
      <c r="X69">
        <v>0.19848202200000001</v>
      </c>
      <c r="Y69">
        <v>0.348847191</v>
      </c>
      <c r="Z69">
        <v>0.348847191</v>
      </c>
      <c r="AA69">
        <v>0.48855280899999998</v>
      </c>
      <c r="AB69">
        <v>8.4024390000000004E-2</v>
      </c>
      <c r="AC69">
        <v>2.8095938000000001E-2</v>
      </c>
      <c r="AD69">
        <v>1.9707982999999998E-2</v>
      </c>
      <c r="AE69">
        <v>2.2788514999999999E-2</v>
      </c>
      <c r="AF69">
        <v>3.6669467999999997E-2</v>
      </c>
      <c r="AG69">
        <v>3.8116946999999998E-2</v>
      </c>
      <c r="AH69">
        <v>2.8133053000000002E-2</v>
      </c>
      <c r="AI69">
        <v>3.4479691999999999E-2</v>
      </c>
      <c r="AJ69">
        <v>4.2088235000000002E-2</v>
      </c>
      <c r="AK69">
        <v>5.2591737E-2</v>
      </c>
      <c r="AL69">
        <v>5.3890755999999998E-2</v>
      </c>
      <c r="AM69">
        <v>6.8943088999999999E-2</v>
      </c>
      <c r="AN69">
        <v>1.467645944</v>
      </c>
      <c r="AO69">
        <v>1.2825678540000001</v>
      </c>
      <c r="AP69">
        <v>1.2825678540000001</v>
      </c>
      <c r="AQ69">
        <v>0.116422346</v>
      </c>
      <c r="AR69">
        <v>1.2244691489999999</v>
      </c>
      <c r="AS69">
        <v>1.0206446810000001</v>
      </c>
      <c r="AT69">
        <v>0.54826808500000002</v>
      </c>
      <c r="AU69">
        <v>1.1163829789999999</v>
      </c>
      <c r="AV69">
        <v>1.141755319</v>
      </c>
      <c r="AW69">
        <v>4.7699999999999999E-2</v>
      </c>
      <c r="AX69">
        <v>5.1554545E-2</v>
      </c>
      <c r="AY69">
        <v>5.6372726999999997E-2</v>
      </c>
      <c r="AZ69">
        <v>8.5281817999999995E-2</v>
      </c>
      <c r="BA69">
        <v>9.01E-2</v>
      </c>
      <c r="BB69">
        <v>8.3750749999999992E-3</v>
      </c>
      <c r="BC69">
        <v>7.5849730000000001E-3</v>
      </c>
      <c r="BD69">
        <v>1.270483E-2</v>
      </c>
      <c r="BE69">
        <v>5.4358970000000003E-3</v>
      </c>
      <c r="BF69">
        <v>0.61819595599999999</v>
      </c>
      <c r="BG69">
        <v>7.4271299999999998E-2</v>
      </c>
      <c r="BH69">
        <v>0.79614990100000005</v>
      </c>
      <c r="BI69">
        <v>0.80064497000000001</v>
      </c>
      <c r="BJ69">
        <v>0.82892209100000003</v>
      </c>
      <c r="BK69">
        <v>0.68021893499999997</v>
      </c>
      <c r="BL69">
        <v>4.5666051999999999E-2</v>
      </c>
      <c r="BM69">
        <v>4.0092251000000002E-2</v>
      </c>
      <c r="BN69">
        <v>5.1044279999999997E-2</v>
      </c>
      <c r="BO69">
        <v>8.2335793000000004E-2</v>
      </c>
      <c r="BP69">
        <v>6.5418819000000003E-2</v>
      </c>
      <c r="BQ69">
        <v>0.109918288</v>
      </c>
      <c r="BR69">
        <v>0.15384435799999999</v>
      </c>
      <c r="BS69">
        <v>0.25633852099999999</v>
      </c>
      <c r="BT69">
        <v>0.35120233499999998</v>
      </c>
      <c r="BU69">
        <v>0.262731518</v>
      </c>
      <c r="BV69">
        <v>0.102993404</v>
      </c>
      <c r="BW69">
        <v>0.18389182100000001</v>
      </c>
      <c r="BX69">
        <v>0.24136675499999999</v>
      </c>
      <c r="BY69">
        <v>0.27325065999999998</v>
      </c>
      <c r="BZ69">
        <v>0.46609234799999999</v>
      </c>
      <c r="CA69">
        <v>0.38785092300000001</v>
      </c>
      <c r="CB69">
        <v>0.440501319</v>
      </c>
      <c r="CC69">
        <v>0.47546174099999999</v>
      </c>
      <c r="CH69">
        <v>0.51691857500000005</v>
      </c>
      <c r="CI69">
        <v>0.52339185799999999</v>
      </c>
      <c r="CJ69">
        <v>0.669445293</v>
      </c>
      <c r="CK69">
        <v>0.65393638700000001</v>
      </c>
      <c r="CL69">
        <v>0.60633078900000004</v>
      </c>
      <c r="CM69">
        <v>0.17742147799999999</v>
      </c>
      <c r="CN69">
        <v>0.153002309</v>
      </c>
      <c r="CO69">
        <v>0.153002309</v>
      </c>
      <c r="CP69">
        <v>0.177482679</v>
      </c>
      <c r="CQ69">
        <v>0.177482679</v>
      </c>
      <c r="CR69">
        <v>0.18816568</v>
      </c>
      <c r="CS69">
        <v>1.02614625</v>
      </c>
      <c r="CT69">
        <v>0.2153072</v>
      </c>
      <c r="CU69">
        <v>0.24668319999999999</v>
      </c>
      <c r="CV69">
        <v>0.27398879999999998</v>
      </c>
      <c r="CW69">
        <v>0.24558079999999999</v>
      </c>
    </row>
    <row r="70" spans="1:101" x14ac:dyDescent="0.2">
      <c r="A70">
        <v>69</v>
      </c>
      <c r="B70" t="s">
        <v>170</v>
      </c>
      <c r="C70" t="s">
        <v>149</v>
      </c>
      <c r="D70" t="s">
        <v>196</v>
      </c>
      <c r="E70" t="s">
        <v>151</v>
      </c>
      <c r="F70" t="s">
        <v>157</v>
      </c>
      <c r="G70" t="s">
        <v>208</v>
      </c>
      <c r="H70">
        <v>0.14284079299999999</v>
      </c>
      <c r="I70">
        <v>1.2417408E-2</v>
      </c>
      <c r="J70">
        <f t="shared" si="2"/>
        <v>0.78012325281727812</v>
      </c>
      <c r="K70">
        <f t="shared" si="3"/>
        <v>0.61509221676005432</v>
      </c>
      <c r="L70">
        <v>56</v>
      </c>
      <c r="M70" t="s">
        <v>154</v>
      </c>
      <c r="W70">
        <v>0.11967037899999999</v>
      </c>
      <c r="X70">
        <v>6.3191009999999997E-3</v>
      </c>
      <c r="Y70">
        <v>7.72809E-3</v>
      </c>
      <c r="Z70">
        <v>7.72809E-3</v>
      </c>
      <c r="AB70">
        <v>3.6300813000000001E-2</v>
      </c>
      <c r="AC70">
        <v>0.17831792699999999</v>
      </c>
      <c r="AD70">
        <v>7.6532213000000002E-2</v>
      </c>
      <c r="AE70">
        <v>9.5452381000000003E-2</v>
      </c>
      <c r="AF70">
        <v>0.123766106</v>
      </c>
      <c r="AG70">
        <v>0.114478992</v>
      </c>
      <c r="AH70">
        <v>6.4238094999999995E-2</v>
      </c>
      <c r="AI70">
        <v>7.5361344999999996E-2</v>
      </c>
      <c r="AJ70">
        <v>8.4142857000000001E-2</v>
      </c>
      <c r="AL70">
        <v>0.12826330499999999</v>
      </c>
      <c r="AM70">
        <v>0.26775067800000002</v>
      </c>
      <c r="AN70">
        <v>0.22097043199999999</v>
      </c>
      <c r="AO70">
        <v>0.22215162999999999</v>
      </c>
      <c r="AP70">
        <v>0.227769522</v>
      </c>
      <c r="AQ70">
        <v>7.9396650000000003E-3</v>
      </c>
      <c r="AR70">
        <v>0.37563404299999997</v>
      </c>
      <c r="AS70">
        <v>0.37652340400000001</v>
      </c>
      <c r="AT70">
        <v>0.335248936</v>
      </c>
      <c r="AU70">
        <v>0.33553191500000001</v>
      </c>
      <c r="AV70">
        <v>0.34151489400000001</v>
      </c>
      <c r="AW70">
        <v>0.10190909099999999</v>
      </c>
      <c r="AX70">
        <v>0.107781818</v>
      </c>
      <c r="AY70">
        <v>8.4290908999999997E-2</v>
      </c>
      <c r="AZ70">
        <v>8.4290908999999997E-2</v>
      </c>
      <c r="BA70">
        <v>8.4290908999999997E-2</v>
      </c>
      <c r="BB70">
        <v>9.0366130000000003E-2</v>
      </c>
      <c r="BC70">
        <v>7.5909361999999994E-2</v>
      </c>
      <c r="BD70">
        <v>5.1618365999999999E-2</v>
      </c>
      <c r="BE70">
        <v>4.4548599000000001E-2</v>
      </c>
      <c r="BF70">
        <v>5.6143078999999999E-2</v>
      </c>
      <c r="BG70">
        <v>5.3251120999999998E-2</v>
      </c>
      <c r="BH70">
        <v>0.29009664699999999</v>
      </c>
      <c r="BI70">
        <v>0.25820512800000001</v>
      </c>
      <c r="BJ70">
        <v>0.26019132099999998</v>
      </c>
      <c r="BK70">
        <v>0.32221301800000002</v>
      </c>
      <c r="BP70">
        <v>4.9077490000000003E-3</v>
      </c>
      <c r="BQ70">
        <v>9.6552528999999998E-2</v>
      </c>
      <c r="BR70">
        <v>8.6941634000000004E-2</v>
      </c>
      <c r="BS70">
        <v>7.2451362000000005E-2</v>
      </c>
      <c r="BT70">
        <v>7.4373541000000001E-2</v>
      </c>
      <c r="CH70">
        <v>3.9643765999999997E-2</v>
      </c>
      <c r="CI70">
        <v>6.1109415E-2</v>
      </c>
      <c r="CJ70">
        <v>0.10520101799999999</v>
      </c>
      <c r="CK70">
        <v>0.17646310400000001</v>
      </c>
      <c r="CL70">
        <v>0.18719592900000001</v>
      </c>
      <c r="CM70">
        <v>9.6228637000000006E-2</v>
      </c>
      <c r="CN70">
        <v>0.109699769</v>
      </c>
      <c r="CO70">
        <v>0.109699769</v>
      </c>
      <c r="CP70">
        <v>0.11408776</v>
      </c>
      <c r="CQ70">
        <v>0.12725173200000001</v>
      </c>
      <c r="CR70">
        <v>0.46094674600000002</v>
      </c>
      <c r="CS70">
        <v>0.28188875000000002</v>
      </c>
    </row>
    <row r="71" spans="1:101" x14ac:dyDescent="0.2">
      <c r="A71">
        <v>70</v>
      </c>
      <c r="B71" t="s">
        <v>170</v>
      </c>
      <c r="C71" t="s">
        <v>149</v>
      </c>
      <c r="D71" t="s">
        <v>196</v>
      </c>
      <c r="E71" t="s">
        <v>151</v>
      </c>
      <c r="F71" t="s">
        <v>157</v>
      </c>
      <c r="G71" t="s">
        <v>209</v>
      </c>
      <c r="H71">
        <v>1.284954E-3</v>
      </c>
      <c r="I71" s="1">
        <v>4.3073299999999998E-6</v>
      </c>
      <c r="J71">
        <f t="shared" si="2"/>
        <v>1.6151635021243615</v>
      </c>
      <c r="K71">
        <f t="shared" si="3"/>
        <v>0.8502328978134952</v>
      </c>
      <c r="L71">
        <v>21</v>
      </c>
      <c r="M71" t="s">
        <v>154</v>
      </c>
      <c r="N71">
        <v>1.0690420000000001E-3</v>
      </c>
      <c r="O71">
        <v>1.211581E-3</v>
      </c>
      <c r="P71">
        <v>1.211581E-3</v>
      </c>
      <c r="Q71">
        <v>1.211581E-3</v>
      </c>
      <c r="R71">
        <v>1.211581E-3</v>
      </c>
      <c r="S71">
        <v>1.211581E-3</v>
      </c>
      <c r="T71">
        <v>1.211581E-3</v>
      </c>
      <c r="AC71">
        <v>1.7927199999999999E-4</v>
      </c>
      <c r="AD71">
        <v>4.9299700000000001E-4</v>
      </c>
      <c r="AE71">
        <v>7.8431400000000004E-4</v>
      </c>
      <c r="AF71">
        <v>4.9971989999999999E-3</v>
      </c>
      <c r="AG71">
        <v>9.0756299999999995E-3</v>
      </c>
      <c r="AH71" s="1">
        <v>4.4817900000000003E-5</v>
      </c>
      <c r="AI71" s="1">
        <v>6.7226900000000005E-5</v>
      </c>
      <c r="AK71">
        <v>6.2745100000000001E-4</v>
      </c>
      <c r="AL71">
        <v>1.389356E-3</v>
      </c>
      <c r="AR71">
        <v>4.4255299999999999E-4</v>
      </c>
      <c r="AS71">
        <v>3.0638300000000002E-4</v>
      </c>
      <c r="AT71">
        <v>1.02128E-4</v>
      </c>
      <c r="AU71" s="1">
        <v>6.8085100000000003E-5</v>
      </c>
      <c r="AV71" s="1">
        <v>6.8085100000000003E-5</v>
      </c>
    </row>
    <row r="72" spans="1:101" x14ac:dyDescent="0.2">
      <c r="A72">
        <v>71</v>
      </c>
      <c r="B72" t="s">
        <v>170</v>
      </c>
      <c r="C72" t="s">
        <v>149</v>
      </c>
      <c r="D72" t="s">
        <v>196</v>
      </c>
      <c r="E72" t="s">
        <v>151</v>
      </c>
      <c r="F72" t="s">
        <v>157</v>
      </c>
      <c r="G72" t="s">
        <v>210</v>
      </c>
      <c r="H72">
        <v>3.7291099999999999E-3</v>
      </c>
      <c r="I72" s="1">
        <v>1.2647699999999999E-5</v>
      </c>
      <c r="J72">
        <f t="shared" si="2"/>
        <v>0.95367540758036895</v>
      </c>
      <c r="K72">
        <f t="shared" si="3"/>
        <v>0.69014622708185736</v>
      </c>
      <c r="L72">
        <v>54</v>
      </c>
      <c r="M72" t="s">
        <v>154</v>
      </c>
      <c r="N72">
        <v>3.6681510000000001E-3</v>
      </c>
      <c r="O72">
        <v>3.6681510000000001E-3</v>
      </c>
      <c r="P72">
        <v>5.4120299999999997E-4</v>
      </c>
      <c r="Q72">
        <v>6.0133599999999995E-4</v>
      </c>
      <c r="R72">
        <v>4.8106899999999998E-4</v>
      </c>
      <c r="S72">
        <v>6.0133599999999995E-4</v>
      </c>
      <c r="T72">
        <v>9.0200399999999998E-4</v>
      </c>
      <c r="U72">
        <v>7.8173700000000001E-4</v>
      </c>
      <c r="V72">
        <v>1.1425389999999999E-3</v>
      </c>
      <c r="W72">
        <v>1.1425389999999999E-3</v>
      </c>
      <c r="X72">
        <v>4.24719E-4</v>
      </c>
      <c r="AC72">
        <v>1.39916E-3</v>
      </c>
      <c r="AD72">
        <v>5.7478989999999999E-3</v>
      </c>
      <c r="AE72">
        <v>5.8802519999999999E-3</v>
      </c>
      <c r="AF72">
        <v>5.7668069999999997E-3</v>
      </c>
      <c r="AG72">
        <v>2.9873949999999999E-3</v>
      </c>
      <c r="AH72">
        <v>2.363445E-3</v>
      </c>
      <c r="AI72">
        <v>1.3329832E-2</v>
      </c>
      <c r="AJ72">
        <v>1.6676470999999998E-2</v>
      </c>
      <c r="AK72">
        <v>2.5147059999999998E-3</v>
      </c>
      <c r="AL72">
        <v>2.5525209999999999E-3</v>
      </c>
      <c r="AR72">
        <v>3.274468E-3</v>
      </c>
      <c r="AS72">
        <v>2.8436170000000001E-3</v>
      </c>
      <c r="AT72">
        <v>1.953191E-3</v>
      </c>
      <c r="AU72">
        <v>1.9819149999999999E-3</v>
      </c>
      <c r="AV72">
        <v>2.0106379999999999E-3</v>
      </c>
      <c r="AW72">
        <v>4.9090899999999999E-4</v>
      </c>
      <c r="BB72">
        <v>2.0608229999999998E-3</v>
      </c>
      <c r="BC72">
        <v>1.7871199999999999E-3</v>
      </c>
      <c r="BG72">
        <v>1.5134529000000001E-2</v>
      </c>
      <c r="BH72">
        <v>1.5976299999999999E-4</v>
      </c>
      <c r="BI72">
        <v>1.5976299999999999E-4</v>
      </c>
      <c r="BL72">
        <v>5.2804430000000001E-3</v>
      </c>
      <c r="BM72">
        <v>5.0313650000000003E-3</v>
      </c>
      <c r="BN72">
        <v>6.9243539999999998E-3</v>
      </c>
      <c r="BO72">
        <v>7.1734320000000004E-3</v>
      </c>
      <c r="BP72">
        <v>7.3228779999999997E-3</v>
      </c>
      <c r="BV72">
        <v>2.1015830000000002E-3</v>
      </c>
      <c r="BW72">
        <v>4.2031660000000004E-3</v>
      </c>
      <c r="BX72">
        <v>4.5593669999999999E-3</v>
      </c>
      <c r="BY72">
        <v>6.76781E-3</v>
      </c>
      <c r="BZ72">
        <v>7.0883910000000003E-3</v>
      </c>
      <c r="CA72">
        <v>2.2440630000000001E-3</v>
      </c>
      <c r="CB72">
        <v>2.8496039999999999E-3</v>
      </c>
      <c r="CC72">
        <v>6.3047490000000001E-3</v>
      </c>
      <c r="CM72">
        <v>1.7147810000000001E-3</v>
      </c>
      <c r="CN72">
        <v>1.6836030000000001E-3</v>
      </c>
      <c r="CO72">
        <v>1.558891E-3</v>
      </c>
      <c r="CP72">
        <v>6.2355699999999995E-4</v>
      </c>
      <c r="CQ72">
        <v>7.4826799999999996E-4</v>
      </c>
      <c r="CT72">
        <v>3.6719999999999999E-3</v>
      </c>
      <c r="CU72">
        <v>5.4000000000000003E-3</v>
      </c>
      <c r="CV72">
        <v>6.6528000000000004E-3</v>
      </c>
      <c r="CW72">
        <v>6.4368000000000003E-3</v>
      </c>
    </row>
    <row r="73" spans="1:101" x14ac:dyDescent="0.2">
      <c r="A73">
        <v>72</v>
      </c>
      <c r="B73" t="s">
        <v>170</v>
      </c>
      <c r="C73" t="s">
        <v>149</v>
      </c>
      <c r="D73" t="s">
        <v>196</v>
      </c>
      <c r="E73" t="s">
        <v>151</v>
      </c>
      <c r="F73" t="s">
        <v>157</v>
      </c>
      <c r="G73" t="s">
        <v>211</v>
      </c>
      <c r="H73">
        <v>1.0588228E-2</v>
      </c>
      <c r="I73">
        <v>1.7360699999999999E-4</v>
      </c>
      <c r="J73">
        <f t="shared" si="2"/>
        <v>1.2444009432689569</v>
      </c>
      <c r="K73">
        <f t="shared" si="3"/>
        <v>0.77949824297468806</v>
      </c>
      <c r="L73">
        <v>41</v>
      </c>
      <c r="M73" t="s">
        <v>154</v>
      </c>
      <c r="N73">
        <v>1.1013363E-2</v>
      </c>
      <c r="O73">
        <v>2.2026726E-2</v>
      </c>
      <c r="P73">
        <v>7.6837420000000003E-3</v>
      </c>
      <c r="Q73">
        <v>8.1959909999999997E-3</v>
      </c>
      <c r="R73">
        <v>7.6837420000000003E-3</v>
      </c>
      <c r="S73">
        <v>7.6837420000000003E-3</v>
      </c>
      <c r="T73">
        <v>8.1959909999999997E-3</v>
      </c>
      <c r="U73">
        <v>1.1474388E-2</v>
      </c>
      <c r="V73">
        <v>5.6347439999999997E-3</v>
      </c>
      <c r="W73">
        <v>5.6347439999999997E-3</v>
      </c>
      <c r="AC73">
        <v>2.1904759999999998E-3</v>
      </c>
      <c r="AD73">
        <v>2.2871150000000002E-3</v>
      </c>
      <c r="AE73">
        <v>2.3354339999999999E-3</v>
      </c>
      <c r="AF73">
        <v>1.820028E-3</v>
      </c>
      <c r="AG73">
        <v>7.3123249999999997E-3</v>
      </c>
      <c r="AH73">
        <v>4.9930000000000005E-4</v>
      </c>
      <c r="AI73">
        <v>1.17577E-3</v>
      </c>
      <c r="AJ73">
        <v>1.079132E-3</v>
      </c>
      <c r="AL73">
        <v>7.2479E-4</v>
      </c>
      <c r="BG73">
        <v>9.6692830000000007E-3</v>
      </c>
      <c r="BL73">
        <v>2.7583026E-2</v>
      </c>
      <c r="BM73">
        <v>1.697417E-2</v>
      </c>
      <c r="BN73">
        <v>2.8049814999999999E-2</v>
      </c>
      <c r="BO73">
        <v>3.5263837999999999E-2</v>
      </c>
      <c r="BP73">
        <v>3.1869003999999999E-2</v>
      </c>
      <c r="BW73">
        <v>6.3720300000000003E-4</v>
      </c>
      <c r="BX73">
        <v>7.5857500000000005E-4</v>
      </c>
      <c r="BY73">
        <v>9.7097600000000002E-4</v>
      </c>
      <c r="BZ73">
        <v>1.031662E-3</v>
      </c>
      <c r="CA73">
        <v>1.335092E-3</v>
      </c>
      <c r="CB73">
        <v>1.5171500000000001E-3</v>
      </c>
      <c r="CC73">
        <v>1.7598939999999999E-3</v>
      </c>
      <c r="CH73">
        <v>1.7966921E-2</v>
      </c>
      <c r="CI73">
        <v>1.7030534E-2</v>
      </c>
      <c r="CJ73">
        <v>2.9086514000000001E-2</v>
      </c>
      <c r="CK73">
        <v>5.1091602999999999E-2</v>
      </c>
      <c r="CL73">
        <v>4.5648855000000002E-2</v>
      </c>
      <c r="CM73">
        <v>4.5150099999999999E-4</v>
      </c>
      <c r="CN73">
        <v>5.3117799999999999E-4</v>
      </c>
      <c r="CO73" s="1">
        <v>5.3117800000000002E-5</v>
      </c>
      <c r="CP73">
        <v>1.8591199999999999E-4</v>
      </c>
    </row>
    <row r="74" spans="1:101" x14ac:dyDescent="0.2">
      <c r="A74">
        <v>73</v>
      </c>
      <c r="B74" t="s">
        <v>170</v>
      </c>
      <c r="C74" t="s">
        <v>149</v>
      </c>
      <c r="D74" t="s">
        <v>196</v>
      </c>
      <c r="E74" t="s">
        <v>151</v>
      </c>
      <c r="F74" t="s">
        <v>157</v>
      </c>
      <c r="G74" t="s">
        <v>212</v>
      </c>
      <c r="H74">
        <v>1.4511911000000001E-2</v>
      </c>
      <c r="I74">
        <v>1.6320899999999999E-4</v>
      </c>
      <c r="J74">
        <f t="shared" si="2"/>
        <v>0.88033393978536068</v>
      </c>
      <c r="K74">
        <f t="shared" si="3"/>
        <v>0.66076914311241663</v>
      </c>
      <c r="L74">
        <v>63</v>
      </c>
      <c r="M74" t="s">
        <v>154</v>
      </c>
      <c r="N74">
        <v>5.9893100000000003E-3</v>
      </c>
      <c r="O74">
        <v>3.1388419000000001E-2</v>
      </c>
      <c r="P74">
        <v>6.654788E-3</v>
      </c>
      <c r="Q74">
        <v>6.654788E-3</v>
      </c>
      <c r="R74">
        <v>6.4699329999999998E-3</v>
      </c>
      <c r="S74">
        <v>6.654788E-3</v>
      </c>
      <c r="T74">
        <v>6.654788E-3</v>
      </c>
      <c r="U74">
        <v>9.3906460000000008E-3</v>
      </c>
      <c r="V74">
        <v>5.5826280000000001E-3</v>
      </c>
      <c r="W74">
        <v>5.5826280000000001E-3</v>
      </c>
      <c r="X74">
        <v>1.342921E-3</v>
      </c>
      <c r="Y74">
        <v>2.4433710000000002E-3</v>
      </c>
      <c r="Z74">
        <v>2.4433710000000002E-3</v>
      </c>
      <c r="AB74">
        <v>2.5271137999999999E-2</v>
      </c>
      <c r="AC74">
        <v>1.1531652999999999E-2</v>
      </c>
      <c r="AD74">
        <v>6.1378149999999996E-3</v>
      </c>
      <c r="AE74">
        <v>8.1488800000000007E-3</v>
      </c>
      <c r="AF74">
        <v>1.1729272000000001E-2</v>
      </c>
      <c r="AG74">
        <v>1.4902801E-2</v>
      </c>
      <c r="AH74">
        <v>1.0741176E-2</v>
      </c>
      <c r="AI74">
        <v>5.7890759999999998E-3</v>
      </c>
      <c r="AL74">
        <v>9.0672270000000006E-3</v>
      </c>
      <c r="AM74">
        <v>4.1387533999999997E-2</v>
      </c>
      <c r="AN74">
        <v>2.8467929999999999E-2</v>
      </c>
      <c r="AO74">
        <v>2.8581197999999999E-2</v>
      </c>
      <c r="AP74">
        <v>2.8052615999999999E-2</v>
      </c>
      <c r="AR74">
        <v>4.0263829999999997E-3</v>
      </c>
      <c r="AS74">
        <v>1.9725744999999999E-2</v>
      </c>
      <c r="AT74">
        <v>1.7253404E-2</v>
      </c>
      <c r="AU74">
        <v>1.9089999999999999E-2</v>
      </c>
      <c r="AV74">
        <v>1.9955318999999999E-2</v>
      </c>
      <c r="AW74">
        <v>3.772727E-3</v>
      </c>
      <c r="AX74">
        <v>4.5272730000000001E-3</v>
      </c>
      <c r="AY74">
        <v>7.3945449999999998E-3</v>
      </c>
      <c r="AZ74">
        <v>7.3945449999999998E-3</v>
      </c>
      <c r="BA74">
        <v>7.6963639999999998E-3</v>
      </c>
      <c r="BB74">
        <v>1.6392128999999998E-2</v>
      </c>
      <c r="BC74">
        <v>1.6550506999999999E-2</v>
      </c>
      <c r="BD74">
        <v>1.1789267000000001E-2</v>
      </c>
      <c r="BE74">
        <v>1.2888014E-2</v>
      </c>
      <c r="BF74">
        <v>1.6264389999999999E-3</v>
      </c>
      <c r="BH74">
        <v>3.4247732000000003E-2</v>
      </c>
      <c r="BI74">
        <v>3.0024063E-2</v>
      </c>
      <c r="BJ74">
        <v>3.0466074999999999E-2</v>
      </c>
      <c r="BK74">
        <v>3.0138659000000002E-2</v>
      </c>
      <c r="BQ74">
        <v>2.3123734999999999E-2</v>
      </c>
      <c r="BR74">
        <v>1.705214E-2</v>
      </c>
      <c r="BS74">
        <v>1.3241245E-2</v>
      </c>
      <c r="BT74">
        <v>1.3435018999999999E-2</v>
      </c>
      <c r="BU74">
        <v>1.8343969000000002E-2</v>
      </c>
      <c r="BV74">
        <v>6.197625E-3</v>
      </c>
      <c r="BW74">
        <v>6.9422160000000002E-3</v>
      </c>
      <c r="BX74">
        <v>8.0810029999999998E-3</v>
      </c>
      <c r="BY74">
        <v>1.0687070999999999E-2</v>
      </c>
      <c r="BZ74">
        <v>1.1212665E-2</v>
      </c>
      <c r="CA74">
        <v>6.1538260000000003E-3</v>
      </c>
      <c r="CB74">
        <v>6.1319260000000002E-3</v>
      </c>
      <c r="CC74">
        <v>7.3145119999999996E-3</v>
      </c>
      <c r="CR74">
        <v>8.3491124E-2</v>
      </c>
      <c r="CT74">
        <v>1.096928E-2</v>
      </c>
      <c r="CU74">
        <v>1.6706240000000001E-2</v>
      </c>
      <c r="CV74">
        <v>1.6812480000000001E-2</v>
      </c>
      <c r="CW74">
        <v>1.6334399999999999E-2</v>
      </c>
    </row>
    <row r="75" spans="1:101" x14ac:dyDescent="0.2">
      <c r="A75">
        <v>74</v>
      </c>
      <c r="B75" t="s">
        <v>170</v>
      </c>
      <c r="C75" t="s">
        <v>149</v>
      </c>
      <c r="D75" t="s">
        <v>196</v>
      </c>
      <c r="E75" t="s">
        <v>151</v>
      </c>
      <c r="F75" t="s">
        <v>157</v>
      </c>
      <c r="G75" t="s">
        <v>213</v>
      </c>
      <c r="H75">
        <v>4.7216103000000002E-2</v>
      </c>
      <c r="I75">
        <v>3.5726120000000002E-3</v>
      </c>
      <c r="J75">
        <f t="shared" si="2"/>
        <v>1.2659098723254172</v>
      </c>
      <c r="K75">
        <f t="shared" si="3"/>
        <v>0.78470261106622252</v>
      </c>
      <c r="L75">
        <v>39</v>
      </c>
      <c r="M75" t="s">
        <v>154</v>
      </c>
      <c r="X75">
        <v>1.0721348E-2</v>
      </c>
      <c r="Y75">
        <v>1.2788202E-2</v>
      </c>
      <c r="Z75">
        <v>1.2788202E-2</v>
      </c>
      <c r="AH75">
        <v>2.1853291E-2</v>
      </c>
      <c r="AI75">
        <v>2.8471639E-2</v>
      </c>
      <c r="AJ75">
        <v>2.8221289E-2</v>
      </c>
      <c r="AK75">
        <v>2.6500699999999999E-2</v>
      </c>
      <c r="AL75">
        <v>2.7766105999999999E-2</v>
      </c>
      <c r="AN75">
        <v>6.9440106000000001E-2</v>
      </c>
      <c r="AO75">
        <v>6.9913191999999999E-2</v>
      </c>
      <c r="AP75">
        <v>7.0470053000000005E-2</v>
      </c>
      <c r="AQ75">
        <v>4.4301699999999998E-4</v>
      </c>
      <c r="AR75">
        <v>4.5292552999999999E-2</v>
      </c>
      <c r="AS75">
        <v>4.4082446999999997E-2</v>
      </c>
      <c r="AT75">
        <v>3.9082978999999997E-2</v>
      </c>
      <c r="AU75">
        <v>4.0106383000000002E-2</v>
      </c>
      <c r="AV75">
        <v>4.0410637999999999E-2</v>
      </c>
      <c r="AW75">
        <v>2.6177273000000001E-2</v>
      </c>
      <c r="AX75">
        <v>2.6590908999999999E-2</v>
      </c>
      <c r="AY75">
        <v>4.4436363999999999E-2</v>
      </c>
      <c r="AZ75">
        <v>4.4436363999999999E-2</v>
      </c>
      <c r="BA75">
        <v>4.4436363999999999E-2</v>
      </c>
      <c r="BH75">
        <v>0.19922435899999999</v>
      </c>
      <c r="BI75">
        <v>0.18521794899999999</v>
      </c>
      <c r="BJ75">
        <v>0.272839744</v>
      </c>
      <c r="BK75">
        <v>0.18453846199999999</v>
      </c>
      <c r="BP75">
        <v>4.0870849000000001E-2</v>
      </c>
      <c r="BQ75">
        <v>2.7466925999999999E-2</v>
      </c>
      <c r="BR75">
        <v>1.2519455000000001E-2</v>
      </c>
      <c r="BS75">
        <v>1.4568093000000001E-2</v>
      </c>
      <c r="BT75">
        <v>1.2620622999999999E-2</v>
      </c>
      <c r="BU75">
        <v>1.1077821E-2</v>
      </c>
      <c r="CE75">
        <v>2.5096530000000001E-3</v>
      </c>
      <c r="CF75">
        <v>7.0186620000000002E-3</v>
      </c>
      <c r="CG75">
        <v>6.3996139999999997E-3</v>
      </c>
      <c r="CT75">
        <v>1.25112E-2</v>
      </c>
      <c r="CU75">
        <v>1.9052800000000002E-2</v>
      </c>
      <c r="CV75">
        <v>2.4284E-2</v>
      </c>
      <c r="CW75">
        <v>3.4278400000000001E-2</v>
      </c>
    </row>
    <row r="76" spans="1:101" x14ac:dyDescent="0.2">
      <c r="A76">
        <v>75</v>
      </c>
      <c r="B76" t="s">
        <v>170</v>
      </c>
      <c r="C76" t="s">
        <v>149</v>
      </c>
      <c r="D76" t="s">
        <v>196</v>
      </c>
      <c r="E76" t="s">
        <v>151</v>
      </c>
      <c r="F76" t="s">
        <v>157</v>
      </c>
      <c r="G76" t="s">
        <v>214</v>
      </c>
      <c r="H76">
        <v>8.5491876999999994E-2</v>
      </c>
      <c r="I76">
        <v>1.0427235999999999E-2</v>
      </c>
      <c r="J76">
        <f t="shared" si="2"/>
        <v>1.1944273774144212</v>
      </c>
      <c r="K76">
        <f t="shared" si="3"/>
        <v>0.76675315817817336</v>
      </c>
      <c r="L76">
        <v>18</v>
      </c>
      <c r="M76" t="s">
        <v>154</v>
      </c>
      <c r="AM76">
        <v>0.327913279</v>
      </c>
      <c r="AN76">
        <v>5.2802502000000001E-2</v>
      </c>
      <c r="AO76">
        <v>5.2431387000000003E-2</v>
      </c>
      <c r="AP76">
        <v>5.3223654000000002E-2</v>
      </c>
      <c r="BB76">
        <v>1.6381931999999998E-2</v>
      </c>
      <c r="BC76">
        <v>1.0130887999999999E-2</v>
      </c>
      <c r="BD76">
        <v>2.6073345000000001E-2</v>
      </c>
      <c r="BE76">
        <v>2.8795468000000001E-2</v>
      </c>
      <c r="BH76">
        <v>0.190373767</v>
      </c>
      <c r="BI76">
        <v>0.206304241</v>
      </c>
      <c r="BJ76">
        <v>0.20602218899999999</v>
      </c>
      <c r="BK76">
        <v>0.23018639099999999</v>
      </c>
      <c r="BP76">
        <v>4.241697E-3</v>
      </c>
      <c r="BQ76" s="1">
        <v>4.28016E-5</v>
      </c>
      <c r="CE76">
        <v>1.4157009999999999E-3</v>
      </c>
      <c r="CF76">
        <v>1.663449E-3</v>
      </c>
      <c r="CG76">
        <v>1.2882880000000001E-3</v>
      </c>
      <c r="CS76">
        <v>0.129562813</v>
      </c>
    </row>
    <row r="77" spans="1:101" x14ac:dyDescent="0.2">
      <c r="A77">
        <v>76</v>
      </c>
      <c r="B77" t="s">
        <v>170</v>
      </c>
      <c r="C77" t="s">
        <v>149</v>
      </c>
      <c r="D77" t="s">
        <v>215</v>
      </c>
      <c r="E77" t="s">
        <v>151</v>
      </c>
      <c r="F77" t="s">
        <v>157</v>
      </c>
      <c r="G77" t="s">
        <v>216</v>
      </c>
      <c r="H77">
        <v>9.1003799999999995E-4</v>
      </c>
      <c r="I77" s="1">
        <v>5.4210399999999997E-7</v>
      </c>
      <c r="J77">
        <f t="shared" si="2"/>
        <v>0.80906195317287366</v>
      </c>
      <c r="K77">
        <f t="shared" si="3"/>
        <v>0.62898129465235098</v>
      </c>
      <c r="L77">
        <v>52</v>
      </c>
      <c r="M77" t="s">
        <v>154</v>
      </c>
      <c r="N77">
        <v>1.35E-4</v>
      </c>
      <c r="O77">
        <v>9.0000000000000006E-5</v>
      </c>
      <c r="P77">
        <v>1.35E-4</v>
      </c>
      <c r="Q77">
        <v>7.0200000000000004E-4</v>
      </c>
      <c r="R77">
        <v>2.7E-4</v>
      </c>
      <c r="S77">
        <v>3.6000000000000002E-4</v>
      </c>
      <c r="T77">
        <v>6.7500000000000004E-4</v>
      </c>
      <c r="U77">
        <v>2.7E-4</v>
      </c>
      <c r="V77">
        <v>1.35E-4</v>
      </c>
      <c r="W77">
        <v>4.4999999999999999E-4</v>
      </c>
      <c r="X77">
        <v>3.6000000000000002E-4</v>
      </c>
      <c r="Y77">
        <v>2.0249999999999999E-4</v>
      </c>
      <c r="Z77">
        <v>4.0499999999999998E-4</v>
      </c>
      <c r="AA77">
        <v>2.655E-4</v>
      </c>
      <c r="AB77">
        <v>5.7149999999999996E-4</v>
      </c>
      <c r="AC77">
        <v>1.7099999999999999E-3</v>
      </c>
      <c r="AD77">
        <v>1.6199999999999999E-3</v>
      </c>
      <c r="AE77">
        <v>3.6000000000000002E-4</v>
      </c>
      <c r="AF77">
        <v>1.8E-3</v>
      </c>
      <c r="AG77">
        <v>1.9350000000000001E-3</v>
      </c>
      <c r="AH77">
        <v>1.737E-3</v>
      </c>
      <c r="AI77">
        <v>3.4919999999999999E-3</v>
      </c>
      <c r="AJ77">
        <v>1.9710000000000001E-3</v>
      </c>
      <c r="AK77">
        <v>1.8675E-3</v>
      </c>
      <c r="AL77">
        <v>2.2994999999999999E-3</v>
      </c>
      <c r="AM77">
        <v>1.6335E-3</v>
      </c>
      <c r="AN77">
        <v>1.17E-3</v>
      </c>
      <c r="AO77">
        <v>3.6000000000000002E-4</v>
      </c>
      <c r="AP77">
        <v>4.4999999999999999E-4</v>
      </c>
      <c r="AQ77">
        <v>4.4999999999999999E-4</v>
      </c>
      <c r="AR77">
        <v>1.665E-3</v>
      </c>
      <c r="AS77">
        <v>1.755E-3</v>
      </c>
      <c r="AT77">
        <v>1.2600000000000001E-3</v>
      </c>
      <c r="AU77">
        <v>2.7E-4</v>
      </c>
      <c r="AV77">
        <v>4.9950000000000005E-4</v>
      </c>
      <c r="AW77">
        <v>1.89E-3</v>
      </c>
      <c r="AX77">
        <v>1.8E-3</v>
      </c>
      <c r="AY77">
        <v>1.1249999999999999E-3</v>
      </c>
      <c r="AZ77">
        <v>1.0349999999999999E-3</v>
      </c>
      <c r="BA77">
        <v>3.6000000000000002E-4</v>
      </c>
      <c r="BB77">
        <v>9.9449999999999994E-4</v>
      </c>
      <c r="BC77">
        <v>5.3549999999999995E-4</v>
      </c>
      <c r="BD77">
        <v>4.6349999999999999E-4</v>
      </c>
      <c r="BE77">
        <v>5.4000000000000001E-4</v>
      </c>
      <c r="BF77">
        <v>1.2600000000000001E-3</v>
      </c>
      <c r="BG77">
        <v>1.17E-3</v>
      </c>
      <c r="BH77">
        <v>1.6200000000000001E-4</v>
      </c>
      <c r="BI77">
        <v>3.6900000000000002E-4</v>
      </c>
      <c r="BJ77">
        <v>6.6600000000000003E-4</v>
      </c>
      <c r="BK77">
        <v>4.95E-4</v>
      </c>
      <c r="BL77">
        <v>8.0999999999999996E-4</v>
      </c>
      <c r="BM77">
        <v>3.1500000000000001E-4</v>
      </c>
    </row>
    <row r="78" spans="1:101" x14ac:dyDescent="0.2">
      <c r="A78">
        <v>77</v>
      </c>
      <c r="B78" t="s">
        <v>170</v>
      </c>
      <c r="C78" t="s">
        <v>149</v>
      </c>
      <c r="D78" t="s">
        <v>215</v>
      </c>
      <c r="E78" t="s">
        <v>151</v>
      </c>
      <c r="F78" t="s">
        <v>157</v>
      </c>
      <c r="G78" t="s">
        <v>217</v>
      </c>
      <c r="H78">
        <v>0.15860898000000001</v>
      </c>
      <c r="I78">
        <v>3.3075807999999998E-2</v>
      </c>
      <c r="J78">
        <f t="shared" si="2"/>
        <v>1.1466409796283803</v>
      </c>
      <c r="K78">
        <f t="shared" si="3"/>
        <v>0.75365412214874505</v>
      </c>
      <c r="L78">
        <v>49</v>
      </c>
      <c r="M78" t="s">
        <v>154</v>
      </c>
      <c r="N78">
        <v>3.5200000000000002E-2</v>
      </c>
      <c r="O78">
        <v>1.2800000000000001E-2</v>
      </c>
      <c r="P78">
        <v>2.8799999999999999E-2</v>
      </c>
      <c r="Q78">
        <v>5.7599999999999998E-2</v>
      </c>
      <c r="R78">
        <v>6.08E-2</v>
      </c>
      <c r="S78">
        <v>6.08E-2</v>
      </c>
      <c r="T78">
        <v>6.08E-2</v>
      </c>
      <c r="U78">
        <v>5.2479999999999999E-2</v>
      </c>
      <c r="V78">
        <v>3.0079999999999999E-2</v>
      </c>
      <c r="W78">
        <v>2.0480000000000002E-2</v>
      </c>
      <c r="X78">
        <v>2.8799999999999999E-2</v>
      </c>
      <c r="Y78">
        <v>3.8399999999999997E-2</v>
      </c>
      <c r="Z78">
        <v>4.48E-2</v>
      </c>
      <c r="AA78">
        <v>7.0400000000000004E-2</v>
      </c>
      <c r="AB78">
        <v>8.6400000000000005E-2</v>
      </c>
      <c r="AC78">
        <v>5.4080000000000003E-2</v>
      </c>
      <c r="AD78">
        <v>4.9279999999999997E-2</v>
      </c>
      <c r="AE78">
        <v>5.9200000000000003E-2</v>
      </c>
      <c r="AF78">
        <v>0.56384000000000001</v>
      </c>
      <c r="AG78">
        <v>0.51712000000000002</v>
      </c>
      <c r="AH78">
        <v>0.32</v>
      </c>
      <c r="AI78">
        <v>0.35520000000000002</v>
      </c>
      <c r="AJ78">
        <v>0.38400000000000001</v>
      </c>
      <c r="AK78">
        <v>0.43840000000000001</v>
      </c>
      <c r="AL78">
        <v>0.45119999999999999</v>
      </c>
      <c r="AM78">
        <v>0.55359999999999998</v>
      </c>
      <c r="AN78">
        <v>0.79679999999999995</v>
      </c>
      <c r="AO78">
        <v>2.5600000000000001E-2</v>
      </c>
      <c r="AP78">
        <v>4.48E-2</v>
      </c>
      <c r="AQ78">
        <v>4.1599999999999998E-2</v>
      </c>
      <c r="AS78">
        <v>6.4000000000000003E-3</v>
      </c>
      <c r="AU78">
        <v>7.1999999999999995E-2</v>
      </c>
      <c r="AV78">
        <v>7.3599999999999999E-2</v>
      </c>
      <c r="AW78">
        <v>0.224</v>
      </c>
      <c r="AX78">
        <v>0.192</v>
      </c>
      <c r="AY78">
        <v>0.17599999999999999</v>
      </c>
      <c r="AZ78">
        <v>0.12352</v>
      </c>
      <c r="BB78">
        <v>0.41599999999999998</v>
      </c>
      <c r="BC78">
        <v>9.6000000000000002E-2</v>
      </c>
      <c r="BD78">
        <v>0.1056</v>
      </c>
      <c r="BE78">
        <v>9.4719999999999999E-2</v>
      </c>
      <c r="BF78">
        <v>9.6000000000000002E-2</v>
      </c>
      <c r="BG78">
        <v>0.25600000000000001</v>
      </c>
      <c r="BH78">
        <v>5.4399999999999997E-2</v>
      </c>
      <c r="BI78">
        <v>7.3599999999999999E-2</v>
      </c>
      <c r="BJ78">
        <v>0.11840000000000001</v>
      </c>
      <c r="BK78">
        <v>9.6000000000000002E-2</v>
      </c>
      <c r="BL78">
        <v>0.13439999999999999</v>
      </c>
      <c r="BM78">
        <v>1.984E-2</v>
      </c>
    </row>
    <row r="79" spans="1:101" x14ac:dyDescent="0.2">
      <c r="A79">
        <v>78</v>
      </c>
      <c r="B79" t="s">
        <v>170</v>
      </c>
      <c r="C79" t="s">
        <v>149</v>
      </c>
      <c r="D79" t="s">
        <v>215</v>
      </c>
      <c r="E79" t="s">
        <v>151</v>
      </c>
      <c r="F79" t="s">
        <v>157</v>
      </c>
      <c r="G79" t="s">
        <v>218</v>
      </c>
      <c r="H79">
        <v>0.25734800000000002</v>
      </c>
      <c r="I79">
        <v>2.2454328999999999E-2</v>
      </c>
      <c r="J79">
        <f t="shared" si="2"/>
        <v>0.58227647388550197</v>
      </c>
      <c r="K79">
        <f t="shared" si="3"/>
        <v>0.50318943333572896</v>
      </c>
      <c r="L79">
        <v>10</v>
      </c>
      <c r="M79" t="s">
        <v>154</v>
      </c>
      <c r="AC79">
        <v>0.40383000000000002</v>
      </c>
      <c r="AD79">
        <v>0.21686</v>
      </c>
      <c r="AO79">
        <v>5.5999999999999999E-3</v>
      </c>
      <c r="AS79">
        <v>0.43120000000000003</v>
      </c>
      <c r="AT79">
        <v>0.42</v>
      </c>
      <c r="AW79">
        <v>0.35699999999999998</v>
      </c>
      <c r="AX79">
        <v>0.245</v>
      </c>
      <c r="AY79">
        <v>4.2000000000000003E-2</v>
      </c>
      <c r="AZ79">
        <v>0.24199000000000001</v>
      </c>
      <c r="BF79">
        <v>0.21</v>
      </c>
    </row>
    <row r="80" spans="1:101" x14ac:dyDescent="0.2">
      <c r="A80">
        <v>79</v>
      </c>
      <c r="B80" t="s">
        <v>219</v>
      </c>
      <c r="C80" t="s">
        <v>220</v>
      </c>
      <c r="D80" t="s">
        <v>221</v>
      </c>
      <c r="E80" t="s">
        <v>151</v>
      </c>
      <c r="F80" t="s">
        <v>157</v>
      </c>
      <c r="G80" t="s">
        <v>222</v>
      </c>
      <c r="H80">
        <v>5.1582142999999997E-2</v>
      </c>
      <c r="I80">
        <v>4.9473900000000001E-4</v>
      </c>
      <c r="J80">
        <f t="shared" si="2"/>
        <v>0.43120986945220546</v>
      </c>
      <c r="K80">
        <f t="shared" si="3"/>
        <v>0.39596516110024571</v>
      </c>
      <c r="L80">
        <v>28</v>
      </c>
      <c r="M80" t="s">
        <v>154</v>
      </c>
      <c r="N80">
        <v>7.5399999999999995E-2</v>
      </c>
      <c r="O80">
        <v>2.47E-2</v>
      </c>
      <c r="P80">
        <v>7.1499999999999994E-2</v>
      </c>
      <c r="Q80">
        <v>1.2999999999999999E-2</v>
      </c>
      <c r="R80">
        <v>4.5499999999999999E-2</v>
      </c>
      <c r="S80">
        <v>2.5999999999999999E-2</v>
      </c>
      <c r="T80">
        <v>4.6800000000000001E-2</v>
      </c>
      <c r="U80">
        <v>4.9399999999999999E-2</v>
      </c>
      <c r="V80">
        <v>4.9399999999999999E-2</v>
      </c>
      <c r="W80">
        <v>8.3199999999999996E-2</v>
      </c>
      <c r="X80">
        <v>7.0199999999999999E-2</v>
      </c>
      <c r="Y80">
        <v>4.9399999999999999E-2</v>
      </c>
      <c r="Z80">
        <v>5.7200000000000001E-2</v>
      </c>
      <c r="AA80">
        <v>4.1599999999999998E-2</v>
      </c>
      <c r="AB80">
        <v>4.9399999999999999E-2</v>
      </c>
      <c r="AC80">
        <v>0.11700000000000001</v>
      </c>
      <c r="AD80">
        <v>4.5499999999999999E-2</v>
      </c>
      <c r="AE80">
        <v>2.9899999999999999E-2</v>
      </c>
      <c r="AF80">
        <v>5.0700000000000002E-2</v>
      </c>
      <c r="AG80">
        <v>8.1900000000000001E-2</v>
      </c>
      <c r="AH80">
        <v>5.7200000000000001E-2</v>
      </c>
      <c r="AI80">
        <v>4.9399999999999999E-2</v>
      </c>
      <c r="AJ80">
        <v>2.3400000000000001E-2</v>
      </c>
      <c r="AK80">
        <v>2.86E-2</v>
      </c>
      <c r="AL80">
        <v>4.6800000000000001E-2</v>
      </c>
      <c r="AM80">
        <v>3.3799999999999997E-2</v>
      </c>
      <c r="AN80">
        <v>7.5399999999999995E-2</v>
      </c>
      <c r="AO80">
        <v>5.1999999999999998E-2</v>
      </c>
    </row>
    <row r="81" spans="1:44" x14ac:dyDescent="0.2">
      <c r="A81">
        <v>80</v>
      </c>
      <c r="B81" t="s">
        <v>219</v>
      </c>
      <c r="C81" t="s">
        <v>220</v>
      </c>
      <c r="D81" t="s">
        <v>221</v>
      </c>
      <c r="E81" t="s">
        <v>151</v>
      </c>
      <c r="F81" t="s">
        <v>157</v>
      </c>
      <c r="G81" t="s">
        <v>222</v>
      </c>
      <c r="H81">
        <v>2.3864285999999998E-2</v>
      </c>
      <c r="I81">
        <v>3.3564800000000002E-4</v>
      </c>
      <c r="J81">
        <f t="shared" si="2"/>
        <v>0.76770361688732236</v>
      </c>
      <c r="K81">
        <f t="shared" si="3"/>
        <v>0.6089494451433326</v>
      </c>
      <c r="L81">
        <v>28</v>
      </c>
      <c r="M81" t="s">
        <v>154</v>
      </c>
      <c r="N81">
        <v>1.04E-2</v>
      </c>
      <c r="O81">
        <v>2.5999999999999999E-2</v>
      </c>
      <c r="P81">
        <v>2.2100000000000002E-2</v>
      </c>
      <c r="Q81">
        <v>2.9899999999999999E-2</v>
      </c>
      <c r="R81">
        <v>5.1999999999999998E-3</v>
      </c>
      <c r="S81">
        <v>2.86E-2</v>
      </c>
      <c r="T81">
        <v>2.5999999999999999E-3</v>
      </c>
      <c r="U81">
        <v>1.04E-2</v>
      </c>
      <c r="V81">
        <v>5.4600000000000003E-2</v>
      </c>
      <c r="W81">
        <v>1.2999999999999999E-3</v>
      </c>
      <c r="X81">
        <v>2.9899999999999999E-2</v>
      </c>
      <c r="Y81">
        <v>1.5599999999999999E-2</v>
      </c>
      <c r="Z81">
        <v>4.1599999999999998E-2</v>
      </c>
      <c r="AA81">
        <v>5.1999999999999998E-3</v>
      </c>
      <c r="AB81">
        <v>6.5000000000000002E-2</v>
      </c>
      <c r="AC81">
        <v>1.04E-2</v>
      </c>
      <c r="AD81">
        <v>4.1599999999999998E-2</v>
      </c>
      <c r="AE81">
        <v>5.1999999999999998E-3</v>
      </c>
      <c r="AF81">
        <v>2.86E-2</v>
      </c>
      <c r="AG81">
        <v>2.2100000000000002E-2</v>
      </c>
      <c r="AH81">
        <v>6.4999999999999997E-3</v>
      </c>
      <c r="AI81">
        <v>1.8200000000000001E-2</v>
      </c>
      <c r="AJ81">
        <v>2.0799999999999999E-2</v>
      </c>
      <c r="AK81">
        <v>2.5999999999999999E-3</v>
      </c>
      <c r="AL81">
        <v>2.5999999999999999E-2</v>
      </c>
      <c r="AM81">
        <v>4.1599999999999998E-2</v>
      </c>
      <c r="AN81">
        <v>2.86E-2</v>
      </c>
      <c r="AO81">
        <v>6.7599999999999993E-2</v>
      </c>
    </row>
    <row r="82" spans="1:44" x14ac:dyDescent="0.2">
      <c r="A82">
        <v>81</v>
      </c>
      <c r="B82" t="s">
        <v>223</v>
      </c>
      <c r="C82" t="s">
        <v>224</v>
      </c>
      <c r="D82" t="s">
        <v>221</v>
      </c>
      <c r="E82" t="s">
        <v>151</v>
      </c>
      <c r="F82" t="s">
        <v>157</v>
      </c>
      <c r="G82" t="s">
        <v>225</v>
      </c>
      <c r="H82">
        <v>8.3416667E-2</v>
      </c>
      <c r="I82">
        <v>4.1984370000000002E-3</v>
      </c>
      <c r="J82">
        <f t="shared" si="2"/>
        <v>0.77676739416081642</v>
      </c>
      <c r="K82">
        <f t="shared" si="3"/>
        <v>0.61344331429580812</v>
      </c>
      <c r="L82">
        <v>28</v>
      </c>
      <c r="M82" t="s">
        <v>154</v>
      </c>
      <c r="N82">
        <v>2.4555555999999999E-2</v>
      </c>
      <c r="O82">
        <v>3.6111111000000001E-2</v>
      </c>
      <c r="P82">
        <v>1.2999999999999999E-2</v>
      </c>
      <c r="Q82">
        <v>0.10977777800000001</v>
      </c>
      <c r="R82">
        <v>3.3222222000000003E-2</v>
      </c>
      <c r="S82">
        <v>2.3111111E-2</v>
      </c>
      <c r="T82">
        <v>1.2999999999999999E-2</v>
      </c>
      <c r="U82">
        <v>5.0555556000000001E-2</v>
      </c>
      <c r="V82">
        <v>0.20222222200000001</v>
      </c>
      <c r="W82">
        <v>2.888889E-3</v>
      </c>
      <c r="X82">
        <v>0.15311111099999999</v>
      </c>
      <c r="Y82">
        <v>0.17333333300000001</v>
      </c>
      <c r="Z82">
        <v>9.2444444000000001E-2</v>
      </c>
      <c r="AA82">
        <v>8.9555555999999994E-2</v>
      </c>
      <c r="AB82">
        <v>0.25133333299999999</v>
      </c>
      <c r="AC82">
        <v>3.3222222000000003E-2</v>
      </c>
      <c r="AD82">
        <v>0.13577777799999999</v>
      </c>
      <c r="AE82">
        <v>6.0666667000000001E-2</v>
      </c>
      <c r="AF82">
        <v>0.13866666699999999</v>
      </c>
      <c r="AG82">
        <v>0.10977777800000001</v>
      </c>
      <c r="AH82">
        <v>0.112666667</v>
      </c>
      <c r="AI82">
        <v>8.2333332999999995E-2</v>
      </c>
      <c r="AJ82">
        <v>3.1777778E-2</v>
      </c>
      <c r="AK82">
        <v>3.7555555999999997E-2</v>
      </c>
      <c r="AL82">
        <v>5.7777778000000002E-2</v>
      </c>
      <c r="AM82">
        <v>2.7444443999999998E-2</v>
      </c>
      <c r="AN82">
        <v>6.3555555999999999E-2</v>
      </c>
      <c r="AO82">
        <v>0.17622222200000001</v>
      </c>
    </row>
    <row r="83" spans="1:44" x14ac:dyDescent="0.2">
      <c r="A83">
        <v>82</v>
      </c>
      <c r="B83" t="s">
        <v>226</v>
      </c>
      <c r="C83" t="s">
        <v>227</v>
      </c>
      <c r="D83" t="s">
        <v>221</v>
      </c>
      <c r="E83" t="s">
        <v>151</v>
      </c>
      <c r="F83" t="s">
        <v>157</v>
      </c>
      <c r="G83" t="s">
        <v>225</v>
      </c>
      <c r="H83">
        <v>8.8111111000000006E-2</v>
      </c>
      <c r="I83">
        <v>1.5430229999999999E-3</v>
      </c>
      <c r="J83">
        <f t="shared" si="2"/>
        <v>0.44581586814663643</v>
      </c>
      <c r="K83">
        <f t="shared" si="3"/>
        <v>0.40718417258299172</v>
      </c>
      <c r="L83">
        <v>28</v>
      </c>
      <c r="M83" t="s">
        <v>154</v>
      </c>
      <c r="N83">
        <v>9.8222221999999998E-2</v>
      </c>
      <c r="O83">
        <v>0.13288888900000001</v>
      </c>
      <c r="P83">
        <v>5.4888889000000003E-2</v>
      </c>
      <c r="Q83">
        <v>8.9555555999999994E-2</v>
      </c>
      <c r="R83">
        <v>5.7777778000000002E-2</v>
      </c>
      <c r="S83">
        <v>0.16177777800000001</v>
      </c>
      <c r="T83">
        <v>9.2444444000000001E-2</v>
      </c>
      <c r="U83">
        <v>8.8111111000000006E-2</v>
      </c>
      <c r="V83">
        <v>0.10977777800000001</v>
      </c>
      <c r="W83">
        <v>5.0555556000000001E-2</v>
      </c>
      <c r="X83">
        <v>0.17622222200000001</v>
      </c>
      <c r="Y83">
        <v>8.2333332999999995E-2</v>
      </c>
      <c r="Z83">
        <v>9.0999999999999998E-2</v>
      </c>
      <c r="AA83">
        <v>0.111222222</v>
      </c>
      <c r="AB83">
        <v>0.122777778</v>
      </c>
      <c r="AC83">
        <v>2.8888889000000001E-2</v>
      </c>
      <c r="AD83">
        <v>0.118444444</v>
      </c>
      <c r="AE83">
        <v>8.2333332999999995E-2</v>
      </c>
      <c r="AF83">
        <v>0.115555556</v>
      </c>
      <c r="AG83">
        <v>0.104</v>
      </c>
      <c r="AH83">
        <v>0.101111111</v>
      </c>
      <c r="AI83">
        <v>2.8888889000000001E-2</v>
      </c>
      <c r="AJ83">
        <v>1.1555556E-2</v>
      </c>
      <c r="AK83">
        <v>6.3555555999999999E-2</v>
      </c>
      <c r="AL83">
        <v>7.8E-2</v>
      </c>
      <c r="AM83">
        <v>3.1777778E-2</v>
      </c>
      <c r="AN83">
        <v>0.121333333</v>
      </c>
      <c r="AO83">
        <v>6.2111110999999997E-2</v>
      </c>
    </row>
    <row r="84" spans="1:44" x14ac:dyDescent="0.2">
      <c r="A84">
        <v>83</v>
      </c>
      <c r="B84" t="s">
        <v>228</v>
      </c>
      <c r="C84" t="s">
        <v>228</v>
      </c>
      <c r="D84" t="s">
        <v>229</v>
      </c>
      <c r="E84" t="s">
        <v>230</v>
      </c>
      <c r="F84" t="s">
        <v>231</v>
      </c>
      <c r="G84" t="s">
        <v>232</v>
      </c>
      <c r="H84">
        <v>2.811858682</v>
      </c>
      <c r="I84">
        <v>10.35041071</v>
      </c>
      <c r="J84">
        <f t="shared" si="2"/>
        <v>1.1441561554636306</v>
      </c>
      <c r="K84">
        <f t="shared" si="3"/>
        <v>0.75294726494629172</v>
      </c>
      <c r="L84">
        <v>15</v>
      </c>
      <c r="M84" t="s">
        <v>154</v>
      </c>
      <c r="N84">
        <v>0.82267999999999997</v>
      </c>
      <c r="O84">
        <v>2.1452</v>
      </c>
      <c r="P84">
        <v>2.02</v>
      </c>
      <c r="Q84">
        <v>3.6999999899999998</v>
      </c>
      <c r="R84">
        <v>2.87</v>
      </c>
      <c r="S84">
        <v>0.82</v>
      </c>
      <c r="T84">
        <v>2.94</v>
      </c>
      <c r="U84">
        <v>7.8000002000000004</v>
      </c>
      <c r="V84">
        <v>0.77</v>
      </c>
      <c r="W84">
        <v>1.8700000400000001</v>
      </c>
      <c r="X84">
        <v>1.02</v>
      </c>
      <c r="Y84">
        <v>0.13</v>
      </c>
      <c r="Z84">
        <v>12.32</v>
      </c>
      <c r="AA84">
        <v>2.1</v>
      </c>
      <c r="AB84">
        <v>0.85</v>
      </c>
    </row>
    <row r="85" spans="1:44" x14ac:dyDescent="0.2">
      <c r="A85">
        <v>84</v>
      </c>
      <c r="B85" t="s">
        <v>228</v>
      </c>
      <c r="C85" t="s">
        <v>228</v>
      </c>
      <c r="D85" t="s">
        <v>229</v>
      </c>
      <c r="E85" t="s">
        <v>230</v>
      </c>
      <c r="F85" t="s">
        <v>231</v>
      </c>
      <c r="G85" t="s">
        <v>233</v>
      </c>
      <c r="H85">
        <v>1.5388192780000001</v>
      </c>
      <c r="I85">
        <v>10.939966030000001</v>
      </c>
      <c r="J85">
        <f t="shared" si="2"/>
        <v>2.1494154601498603</v>
      </c>
      <c r="K85">
        <f t="shared" si="3"/>
        <v>0.90667725219859607</v>
      </c>
      <c r="L85">
        <v>10</v>
      </c>
      <c r="M85" t="s">
        <v>154</v>
      </c>
      <c r="N85">
        <v>9.8192000000000002E-2</v>
      </c>
      <c r="O85">
        <v>10.4</v>
      </c>
      <c r="P85">
        <v>0.11000020000000001</v>
      </c>
      <c r="Q85">
        <v>2.9999919999999999E-2</v>
      </c>
      <c r="R85">
        <v>0.27</v>
      </c>
      <c r="S85">
        <v>0.03</v>
      </c>
      <c r="T85">
        <v>3.7</v>
      </c>
      <c r="U85">
        <v>0.2200001</v>
      </c>
      <c r="V85">
        <v>0.30999989999999999</v>
      </c>
      <c r="W85">
        <v>0.22000065999999999</v>
      </c>
    </row>
    <row r="86" spans="1:44" x14ac:dyDescent="0.2">
      <c r="A86">
        <v>85</v>
      </c>
      <c r="B86" t="s">
        <v>228</v>
      </c>
      <c r="C86" t="s">
        <v>228</v>
      </c>
      <c r="D86" t="s">
        <v>229</v>
      </c>
      <c r="E86" t="s">
        <v>230</v>
      </c>
      <c r="F86" t="s">
        <v>231</v>
      </c>
      <c r="G86" t="s">
        <v>234</v>
      </c>
      <c r="H86">
        <v>30.79346001</v>
      </c>
      <c r="I86">
        <v>1354.159917</v>
      </c>
      <c r="J86">
        <f t="shared" si="2"/>
        <v>1.1950236150054001</v>
      </c>
      <c r="K86">
        <f t="shared" si="3"/>
        <v>0.76691081605151257</v>
      </c>
      <c r="L86">
        <v>12</v>
      </c>
      <c r="M86" t="s">
        <v>154</v>
      </c>
      <c r="N86">
        <v>64.619</v>
      </c>
      <c r="O86">
        <v>4.0503999999999998E-2</v>
      </c>
      <c r="P86">
        <v>0.48685</v>
      </c>
      <c r="Q86">
        <v>85.290370139999993</v>
      </c>
      <c r="R86">
        <v>2.7002250000000001</v>
      </c>
      <c r="S86">
        <v>90.970380000000006</v>
      </c>
      <c r="T86">
        <v>0.50003450000000005</v>
      </c>
      <c r="U86">
        <v>7.2276984000000004</v>
      </c>
      <c r="V86">
        <v>46.848964899999999</v>
      </c>
      <c r="W86">
        <v>3.9003179999999998E-2</v>
      </c>
      <c r="X86">
        <v>65.298017000000002</v>
      </c>
      <c r="Y86">
        <v>5.5004730000000004</v>
      </c>
    </row>
    <row r="87" spans="1:44" x14ac:dyDescent="0.2">
      <c r="A87">
        <v>86</v>
      </c>
      <c r="B87" t="s">
        <v>228</v>
      </c>
      <c r="C87" t="s">
        <v>228</v>
      </c>
      <c r="D87" t="s">
        <v>229</v>
      </c>
      <c r="E87" t="s">
        <v>230</v>
      </c>
      <c r="F87" t="s">
        <v>231</v>
      </c>
      <c r="G87" t="s">
        <v>235</v>
      </c>
      <c r="H87">
        <v>2.0447418929999999</v>
      </c>
      <c r="I87">
        <v>3.391234962</v>
      </c>
      <c r="J87">
        <f t="shared" si="2"/>
        <v>0.90061763265209716</v>
      </c>
      <c r="K87">
        <f t="shared" si="3"/>
        <v>0.66921825168391136</v>
      </c>
      <c r="L87">
        <v>10</v>
      </c>
      <c r="M87" t="s">
        <v>154</v>
      </c>
      <c r="N87">
        <v>0.80337000000000003</v>
      </c>
      <c r="O87">
        <v>0.69899999999999995</v>
      </c>
      <c r="P87">
        <v>6.8986400000000003E-2</v>
      </c>
      <c r="Q87">
        <v>2.2604764799999999</v>
      </c>
      <c r="R87">
        <v>2.7002259999999998</v>
      </c>
      <c r="S87">
        <v>2.710191</v>
      </c>
      <c r="T87">
        <v>4.8707966000000003</v>
      </c>
      <c r="U87">
        <v>0.68312470000000003</v>
      </c>
      <c r="V87">
        <v>5.2011570999999996</v>
      </c>
      <c r="W87">
        <v>0.45009064999999998</v>
      </c>
    </row>
    <row r="88" spans="1:44" x14ac:dyDescent="0.2">
      <c r="A88">
        <v>87</v>
      </c>
      <c r="B88" t="s">
        <v>228</v>
      </c>
      <c r="C88" t="s">
        <v>228</v>
      </c>
      <c r="D88" t="s">
        <v>229</v>
      </c>
      <c r="E88" t="s">
        <v>230</v>
      </c>
      <c r="F88" t="s">
        <v>231</v>
      </c>
      <c r="G88" t="s">
        <v>236</v>
      </c>
      <c r="H88">
        <v>13.22391378</v>
      </c>
      <c r="I88">
        <v>626.30621829999995</v>
      </c>
      <c r="J88">
        <f t="shared" si="2"/>
        <v>1.8924889519806711</v>
      </c>
      <c r="K88">
        <f t="shared" si="3"/>
        <v>0.88415584700421845</v>
      </c>
      <c r="L88">
        <v>11</v>
      </c>
      <c r="M88" t="s">
        <v>154</v>
      </c>
      <c r="N88">
        <v>6.9000000000000006E-2</v>
      </c>
      <c r="O88">
        <v>1.43954</v>
      </c>
      <c r="P88">
        <v>1.01956</v>
      </c>
      <c r="Q88">
        <v>14.7395</v>
      </c>
      <c r="R88">
        <v>1.92126</v>
      </c>
      <c r="S88">
        <v>37.818125999999999</v>
      </c>
      <c r="T88">
        <v>0.45008939999999997</v>
      </c>
      <c r="U88">
        <v>80.704917899999998</v>
      </c>
      <c r="V88">
        <v>2.4004903999999998</v>
      </c>
      <c r="W88">
        <v>1.70019991</v>
      </c>
      <c r="X88">
        <v>3.2003680000000001</v>
      </c>
    </row>
    <row r="89" spans="1:44" x14ac:dyDescent="0.2">
      <c r="A89">
        <v>88</v>
      </c>
      <c r="B89" t="s">
        <v>228</v>
      </c>
      <c r="C89" t="s">
        <v>228</v>
      </c>
      <c r="D89" t="s">
        <v>229</v>
      </c>
      <c r="E89" t="s">
        <v>230</v>
      </c>
      <c r="F89" t="s">
        <v>231</v>
      </c>
      <c r="G89" t="s">
        <v>237</v>
      </c>
      <c r="H89">
        <v>2.0770000940000002</v>
      </c>
      <c r="I89">
        <v>0.32208985099999998</v>
      </c>
      <c r="J89">
        <f t="shared" si="2"/>
        <v>0.27324486179496033</v>
      </c>
      <c r="K89">
        <f t="shared" si="3"/>
        <v>0.26358209489294288</v>
      </c>
      <c r="L89">
        <v>10</v>
      </c>
      <c r="M89" t="s">
        <v>154</v>
      </c>
      <c r="N89">
        <v>1.57</v>
      </c>
      <c r="O89">
        <v>2.83</v>
      </c>
      <c r="P89">
        <v>2.4799996000000002</v>
      </c>
      <c r="Q89">
        <v>2.1500004399999999</v>
      </c>
      <c r="R89">
        <v>1.880001</v>
      </c>
      <c r="S89">
        <v>2.2599999999999998</v>
      </c>
      <c r="T89">
        <v>1.9499995999999999</v>
      </c>
      <c r="U89">
        <v>1.6200005</v>
      </c>
      <c r="V89">
        <v>2.9099998</v>
      </c>
      <c r="W89">
        <v>1.1200000000000001</v>
      </c>
    </row>
    <row r="90" spans="1:44" x14ac:dyDescent="0.2">
      <c r="A90">
        <v>89</v>
      </c>
      <c r="B90" t="s">
        <v>238</v>
      </c>
      <c r="C90" t="s">
        <v>239</v>
      </c>
      <c r="E90" t="s">
        <v>230</v>
      </c>
      <c r="F90" t="s">
        <v>240</v>
      </c>
      <c r="G90" t="s">
        <v>241</v>
      </c>
      <c r="H90">
        <v>2.2104258059999999</v>
      </c>
      <c r="I90">
        <v>3.2116704989999998</v>
      </c>
      <c r="J90">
        <f t="shared" si="2"/>
        <v>0.81075483828783845</v>
      </c>
      <c r="K90">
        <f t="shared" si="3"/>
        <v>0.62977572553054251</v>
      </c>
      <c r="L90">
        <v>31</v>
      </c>
      <c r="M90" t="s">
        <v>154</v>
      </c>
      <c r="N90">
        <v>1.4461999999999999</v>
      </c>
      <c r="O90">
        <v>1.1366000000000001</v>
      </c>
      <c r="P90">
        <v>6.8616999999999999</v>
      </c>
      <c r="Q90">
        <v>5.0335999999999999</v>
      </c>
      <c r="R90">
        <v>1.9832000000000001</v>
      </c>
      <c r="S90">
        <v>0.75629999999999997</v>
      </c>
      <c r="T90">
        <v>0.7359</v>
      </c>
      <c r="U90">
        <v>8.1574000000000009</v>
      </c>
      <c r="V90">
        <v>2.3359999999999999</v>
      </c>
      <c r="W90">
        <v>0.7419</v>
      </c>
      <c r="X90">
        <v>2.7101999999999999</v>
      </c>
      <c r="Y90">
        <v>1.0125999999999999</v>
      </c>
      <c r="Z90">
        <v>2.2067000000000001</v>
      </c>
      <c r="AA90">
        <v>1.3587</v>
      </c>
      <c r="AB90">
        <v>2.4914999999999998</v>
      </c>
      <c r="AC90">
        <v>2.3218000000000001</v>
      </c>
      <c r="AD90">
        <v>1.8354999999999999</v>
      </c>
      <c r="AE90">
        <v>0.26729999999999998</v>
      </c>
      <c r="AF90">
        <v>1.1395</v>
      </c>
      <c r="AG90">
        <v>1.8053999999999999</v>
      </c>
      <c r="AH90">
        <v>1.8713</v>
      </c>
      <c r="AI90">
        <v>2.8972000000000002</v>
      </c>
      <c r="AJ90">
        <v>1.123</v>
      </c>
      <c r="AK90">
        <v>1.8326</v>
      </c>
      <c r="AL90">
        <v>2.6924999999999999</v>
      </c>
      <c r="AM90">
        <v>1.3115000000000001</v>
      </c>
      <c r="AN90">
        <v>0.52180000000000004</v>
      </c>
      <c r="AO90">
        <v>2.4439000000000002</v>
      </c>
      <c r="AP90">
        <v>1.5109999999999999</v>
      </c>
      <c r="AQ90">
        <v>4.9696999999999996</v>
      </c>
      <c r="AR90">
        <v>1.0106999999999999</v>
      </c>
    </row>
    <row r="91" spans="1:44" x14ac:dyDescent="0.2">
      <c r="A91">
        <v>90</v>
      </c>
      <c r="B91" t="s">
        <v>238</v>
      </c>
      <c r="C91" t="s">
        <v>239</v>
      </c>
      <c r="E91" t="s">
        <v>230</v>
      </c>
      <c r="F91" t="s">
        <v>240</v>
      </c>
      <c r="G91" t="s">
        <v>242</v>
      </c>
      <c r="H91">
        <v>1.842380645</v>
      </c>
      <c r="I91">
        <v>3.6197812360000001</v>
      </c>
      <c r="J91">
        <f t="shared" si="2"/>
        <v>1.0326705686123914</v>
      </c>
      <c r="K91">
        <f t="shared" si="3"/>
        <v>0.71837913431906131</v>
      </c>
      <c r="L91">
        <v>31</v>
      </c>
      <c r="M91" t="s">
        <v>154</v>
      </c>
      <c r="N91">
        <v>0.1351</v>
      </c>
      <c r="O91">
        <v>9.1399999999999995E-2</v>
      </c>
      <c r="P91">
        <v>1.8150999999999999</v>
      </c>
      <c r="Q91">
        <v>0.58489999999999998</v>
      </c>
      <c r="R91">
        <v>1.4074</v>
      </c>
      <c r="S91">
        <v>0.13489999999999999</v>
      </c>
      <c r="T91">
        <v>0.16159999999999999</v>
      </c>
      <c r="U91">
        <v>2.1989999999999998</v>
      </c>
      <c r="V91">
        <v>1.7017</v>
      </c>
      <c r="W91">
        <v>2.2475999999999998</v>
      </c>
      <c r="X91">
        <v>1.8552</v>
      </c>
      <c r="Y91">
        <v>1.0167999999999999</v>
      </c>
      <c r="Z91">
        <v>3.9342000000000001</v>
      </c>
      <c r="AA91">
        <v>1.9128000000000001</v>
      </c>
      <c r="AB91">
        <v>2.0689000000000002</v>
      </c>
      <c r="AC91">
        <v>2.0362</v>
      </c>
      <c r="AD91">
        <v>1.9492</v>
      </c>
      <c r="AE91">
        <v>0.24429999999999999</v>
      </c>
      <c r="AF91">
        <v>0.78129999999999999</v>
      </c>
      <c r="AG91">
        <v>1.0996999999999999</v>
      </c>
      <c r="AH91">
        <v>4.0298999999999996</v>
      </c>
      <c r="AI91">
        <v>3.4108000000000001</v>
      </c>
      <c r="AJ91">
        <v>1.7835000000000001</v>
      </c>
      <c r="AK91">
        <v>1.0002</v>
      </c>
      <c r="AL91">
        <v>0.75749999999999995</v>
      </c>
      <c r="AM91">
        <v>1.3013999999999999</v>
      </c>
      <c r="AN91">
        <v>0.90029999999999999</v>
      </c>
      <c r="AO91">
        <v>10.287699999999999</v>
      </c>
      <c r="AP91">
        <v>1.2437</v>
      </c>
      <c r="AQ91">
        <v>3.63</v>
      </c>
      <c r="AR91">
        <v>1.3915</v>
      </c>
    </row>
    <row r="92" spans="1:44" x14ac:dyDescent="0.2">
      <c r="A92">
        <v>91</v>
      </c>
      <c r="B92" t="s">
        <v>238</v>
      </c>
      <c r="C92" t="s">
        <v>239</v>
      </c>
      <c r="E92" t="s">
        <v>230</v>
      </c>
      <c r="F92" t="s">
        <v>240</v>
      </c>
      <c r="G92" t="s">
        <v>243</v>
      </c>
      <c r="H92">
        <v>3.4601548389999999</v>
      </c>
      <c r="I92">
        <v>11.879140270000001</v>
      </c>
      <c r="J92">
        <f t="shared" si="2"/>
        <v>0.99608631103239709</v>
      </c>
      <c r="K92">
        <f t="shared" si="3"/>
        <v>0.70571901370538825</v>
      </c>
      <c r="L92">
        <v>31</v>
      </c>
      <c r="M92" t="s">
        <v>154</v>
      </c>
      <c r="N92">
        <v>0.50639999999999996</v>
      </c>
      <c r="O92">
        <v>8.3599999999999994E-2</v>
      </c>
      <c r="P92">
        <v>8.4934999999999992</v>
      </c>
      <c r="Q92">
        <v>4.0277000000000003</v>
      </c>
      <c r="R92">
        <v>3.5893000000000002</v>
      </c>
      <c r="S92">
        <v>0.37519999999999998</v>
      </c>
      <c r="T92">
        <v>0.57820000000000005</v>
      </c>
      <c r="U92">
        <v>11.021800000000001</v>
      </c>
      <c r="V92">
        <v>5.3335999999999997</v>
      </c>
      <c r="W92">
        <v>1.4971000000000001</v>
      </c>
      <c r="X92">
        <v>4.5842999999999998</v>
      </c>
      <c r="Y92">
        <v>0.52669999999999995</v>
      </c>
      <c r="Z92">
        <v>3.3580000000000001</v>
      </c>
      <c r="AA92">
        <v>3.0962000000000001</v>
      </c>
      <c r="AB92">
        <v>3.7404000000000002</v>
      </c>
      <c r="AC92">
        <v>2.6911</v>
      </c>
      <c r="AD92">
        <v>3.5739000000000001</v>
      </c>
      <c r="AE92">
        <v>0.37380000000000002</v>
      </c>
      <c r="AF92">
        <v>0.161</v>
      </c>
      <c r="AG92">
        <v>1.9917</v>
      </c>
      <c r="AH92">
        <v>9.9116999999999997</v>
      </c>
      <c r="AI92">
        <v>5.8304</v>
      </c>
      <c r="AJ92">
        <v>3.1465000000000001</v>
      </c>
      <c r="AK92">
        <v>1.2403999999999999</v>
      </c>
      <c r="AL92">
        <v>1.2714000000000001</v>
      </c>
      <c r="AM92">
        <v>0.52629999999999999</v>
      </c>
      <c r="AN92">
        <v>0.22239999999999999</v>
      </c>
      <c r="AO92">
        <v>13.4491</v>
      </c>
      <c r="AP92">
        <v>1.2428999999999999</v>
      </c>
      <c r="AQ92">
        <v>7.2131999999999996</v>
      </c>
      <c r="AR92">
        <v>3.6070000000000002</v>
      </c>
    </row>
    <row r="93" spans="1:44" x14ac:dyDescent="0.2">
      <c r="A93">
        <v>92</v>
      </c>
      <c r="B93" t="s">
        <v>238</v>
      </c>
      <c r="C93" t="s">
        <v>239</v>
      </c>
      <c r="E93" t="s">
        <v>230</v>
      </c>
      <c r="F93" t="s">
        <v>240</v>
      </c>
      <c r="G93" t="s">
        <v>244</v>
      </c>
      <c r="H93">
        <v>1.330193333</v>
      </c>
      <c r="I93">
        <v>5.7002317189999996</v>
      </c>
      <c r="J93">
        <f t="shared" si="2"/>
        <v>1.7948637583299814</v>
      </c>
      <c r="K93">
        <f t="shared" si="3"/>
        <v>0.87356704975004973</v>
      </c>
      <c r="L93">
        <v>30</v>
      </c>
      <c r="M93" t="s">
        <v>154</v>
      </c>
      <c r="N93">
        <v>6.2199999999999998E-2</v>
      </c>
      <c r="O93">
        <v>2.4899999999999999E-2</v>
      </c>
      <c r="P93">
        <v>1.1109</v>
      </c>
      <c r="Q93">
        <v>0.18429999999999999</v>
      </c>
      <c r="R93">
        <v>0.36180000000000001</v>
      </c>
      <c r="S93">
        <v>4.9500000000000002E-2</v>
      </c>
      <c r="T93">
        <v>0.30280000000000001</v>
      </c>
      <c r="U93">
        <v>3.3469000000000002</v>
      </c>
      <c r="V93">
        <v>0.31879999999999997</v>
      </c>
      <c r="W93">
        <v>0.3039</v>
      </c>
      <c r="X93">
        <v>0.6452</v>
      </c>
      <c r="Y93">
        <v>0.90639999999999998</v>
      </c>
      <c r="Z93">
        <v>6.5011000000000001</v>
      </c>
      <c r="AA93">
        <v>0.28699999999999998</v>
      </c>
      <c r="AB93">
        <v>1.6025</v>
      </c>
      <c r="AC93">
        <v>1.3210999999999999</v>
      </c>
      <c r="AD93">
        <v>0.60470000000000002</v>
      </c>
      <c r="AE93">
        <v>0.1361</v>
      </c>
      <c r="AG93">
        <v>2.8899999999999999E-2</v>
      </c>
      <c r="AH93">
        <v>7.7348999999999997</v>
      </c>
      <c r="AI93">
        <v>0.26479999999999998</v>
      </c>
      <c r="AJ93">
        <v>0.1817</v>
      </c>
      <c r="AK93">
        <v>8.5400000000000004E-2</v>
      </c>
      <c r="AL93">
        <v>0.27089999999999997</v>
      </c>
      <c r="AM93">
        <v>0.23380000000000001</v>
      </c>
      <c r="AN93">
        <v>0.1852</v>
      </c>
      <c r="AO93">
        <v>9.6518999999999995</v>
      </c>
      <c r="AP93">
        <v>0.52080000000000004</v>
      </c>
      <c r="AQ93">
        <v>1.5588</v>
      </c>
      <c r="AR93">
        <v>1.1186</v>
      </c>
    </row>
    <row r="94" spans="1:44" x14ac:dyDescent="0.2">
      <c r="A94">
        <v>93</v>
      </c>
      <c r="B94" t="s">
        <v>238</v>
      </c>
      <c r="C94" t="s">
        <v>239</v>
      </c>
      <c r="E94" t="s">
        <v>230</v>
      </c>
      <c r="F94" t="s">
        <v>240</v>
      </c>
      <c r="G94" t="s">
        <v>245</v>
      </c>
      <c r="H94">
        <v>5.2403333000000003E-2</v>
      </c>
      <c r="I94">
        <v>4.1217659999999998E-3</v>
      </c>
      <c r="J94">
        <f t="shared" si="2"/>
        <v>1.2251316400220496</v>
      </c>
      <c r="K94">
        <f t="shared" si="3"/>
        <v>0.77469448702206312</v>
      </c>
      <c r="L94">
        <v>30</v>
      </c>
      <c r="M94" t="s">
        <v>154</v>
      </c>
      <c r="N94">
        <v>0.1128</v>
      </c>
      <c r="O94">
        <v>0.1229</v>
      </c>
      <c r="P94">
        <v>5.3400000000000003E-2</v>
      </c>
      <c r="Q94">
        <v>0.14369999999999999</v>
      </c>
      <c r="R94">
        <v>1.77E-2</v>
      </c>
      <c r="S94">
        <v>3.7400000000000003E-2</v>
      </c>
      <c r="T94">
        <v>2.64E-2</v>
      </c>
      <c r="U94">
        <v>0.29849999999999999</v>
      </c>
      <c r="V94">
        <v>2.8199999999999999E-2</v>
      </c>
      <c r="W94">
        <v>4.2599999999999999E-2</v>
      </c>
      <c r="X94">
        <v>1.7600000000000001E-2</v>
      </c>
      <c r="Y94">
        <v>8.0000000000000002E-3</v>
      </c>
      <c r="Z94">
        <v>5.4999999999999997E-3</v>
      </c>
      <c r="AA94">
        <v>6.7999999999999996E-3</v>
      </c>
      <c r="AB94">
        <v>4.7999999999999996E-3</v>
      </c>
      <c r="AC94">
        <v>1.4500000000000001E-2</v>
      </c>
      <c r="AD94">
        <v>3.3E-3</v>
      </c>
      <c r="AE94">
        <v>5.3E-3</v>
      </c>
      <c r="AF94">
        <v>2.1000000000000001E-2</v>
      </c>
      <c r="AH94">
        <v>5.3699999999999998E-2</v>
      </c>
      <c r="AI94">
        <v>5.8000000000000003E-2</v>
      </c>
      <c r="AJ94">
        <v>3.0000000000000001E-3</v>
      </c>
      <c r="AK94">
        <v>1.8499999999999999E-2</v>
      </c>
      <c r="AL94">
        <v>4.6399999999999997E-2</v>
      </c>
      <c r="AM94">
        <v>6.1499999999999999E-2</v>
      </c>
      <c r="AN94">
        <v>2.4799999999999999E-2</v>
      </c>
      <c r="AO94">
        <v>0.10059999999999999</v>
      </c>
      <c r="AP94">
        <v>5.2400000000000002E-2</v>
      </c>
      <c r="AQ94">
        <v>0.17069999999999999</v>
      </c>
      <c r="AR94">
        <v>1.21E-2</v>
      </c>
    </row>
    <row r="95" spans="1:44" x14ac:dyDescent="0.2">
      <c r="A95">
        <v>94</v>
      </c>
      <c r="B95" t="s">
        <v>238</v>
      </c>
      <c r="C95" t="s">
        <v>239</v>
      </c>
      <c r="E95" t="s">
        <v>230</v>
      </c>
      <c r="F95" t="s">
        <v>240</v>
      </c>
      <c r="G95" t="s">
        <v>246</v>
      </c>
      <c r="H95">
        <v>9.6012838709999997</v>
      </c>
      <c r="I95">
        <v>65.401805249999995</v>
      </c>
      <c r="J95">
        <f t="shared" si="2"/>
        <v>0.8422975895203143</v>
      </c>
      <c r="K95">
        <f t="shared" si="3"/>
        <v>0.6442218075270878</v>
      </c>
      <c r="L95">
        <v>31</v>
      </c>
      <c r="M95" t="s">
        <v>154</v>
      </c>
      <c r="N95">
        <v>2.3264</v>
      </c>
      <c r="O95">
        <v>1.6588000000000001</v>
      </c>
      <c r="P95">
        <v>18.661100000000001</v>
      </c>
      <c r="Q95">
        <v>10.0067</v>
      </c>
      <c r="R95">
        <v>8.5084</v>
      </c>
      <c r="S95">
        <v>1.6679999999999999</v>
      </c>
      <c r="T95">
        <v>3.3087</v>
      </c>
      <c r="U95">
        <v>26.124600000000001</v>
      </c>
      <c r="V95">
        <v>9.7995000000000001</v>
      </c>
      <c r="W95">
        <v>6.2370999999999999</v>
      </c>
      <c r="X95">
        <v>10.802300000000001</v>
      </c>
      <c r="Y95">
        <v>5.7003000000000004</v>
      </c>
      <c r="Z95">
        <v>17.475100000000001</v>
      </c>
      <c r="AA95">
        <v>7.0472999999999999</v>
      </c>
      <c r="AB95">
        <v>10.078099999999999</v>
      </c>
      <c r="AC95">
        <v>8.4755000000000003</v>
      </c>
      <c r="AD95">
        <v>8.9200999999999997</v>
      </c>
      <c r="AE95">
        <v>1.5625</v>
      </c>
      <c r="AF95">
        <v>2.9365000000000001</v>
      </c>
      <c r="AG95">
        <v>6.133</v>
      </c>
      <c r="AH95">
        <v>23.945599999999999</v>
      </c>
      <c r="AI95">
        <v>13.351800000000001</v>
      </c>
      <c r="AJ95">
        <v>7.077</v>
      </c>
      <c r="AK95">
        <v>4.6534000000000004</v>
      </c>
      <c r="AL95">
        <v>5.9846000000000004</v>
      </c>
      <c r="AM95">
        <v>5.3803000000000001</v>
      </c>
      <c r="AN95">
        <v>2.3902999999999999</v>
      </c>
      <c r="AO95">
        <v>36.512799999999999</v>
      </c>
      <c r="AP95">
        <v>4.8846999999999996</v>
      </c>
      <c r="AQ95">
        <v>18.677499999999998</v>
      </c>
      <c r="AR95">
        <v>7.3517999999999999</v>
      </c>
    </row>
    <row r="96" spans="1:44" x14ac:dyDescent="0.2">
      <c r="A96">
        <v>95</v>
      </c>
      <c r="B96" t="s">
        <v>238</v>
      </c>
      <c r="C96" t="s">
        <v>239</v>
      </c>
      <c r="E96" t="s">
        <v>230</v>
      </c>
      <c r="F96" t="s">
        <v>240</v>
      </c>
      <c r="G96" t="s">
        <v>247</v>
      </c>
      <c r="H96">
        <v>1.3160068970000001</v>
      </c>
      <c r="I96">
        <v>9.0942548060000004</v>
      </c>
      <c r="J96">
        <f t="shared" si="2"/>
        <v>2.2915291900782764</v>
      </c>
      <c r="K96">
        <f t="shared" si="3"/>
        <v>0.91653058286789191</v>
      </c>
      <c r="L96">
        <v>29</v>
      </c>
      <c r="M96" t="s">
        <v>154</v>
      </c>
      <c r="N96">
        <v>2.0000000000000001E-4</v>
      </c>
      <c r="O96">
        <v>4.0000000000000002E-4</v>
      </c>
      <c r="P96">
        <v>0.75970000000000004</v>
      </c>
      <c r="Q96">
        <v>6.2977999999999996</v>
      </c>
      <c r="R96">
        <v>0.107</v>
      </c>
      <c r="U96">
        <v>0.41799999999999998</v>
      </c>
      <c r="V96">
        <v>14.213900000000001</v>
      </c>
      <c r="W96">
        <v>0.78200000000000003</v>
      </c>
      <c r="X96">
        <v>3.7499999999999999E-2</v>
      </c>
      <c r="Y96">
        <v>2.9999999999999997E-4</v>
      </c>
      <c r="Z96">
        <v>0.76119999999999999</v>
      </c>
      <c r="AA96">
        <v>0.20300000000000001</v>
      </c>
      <c r="AB96">
        <v>6.1924000000000001</v>
      </c>
      <c r="AC96">
        <v>4.5518999999999998</v>
      </c>
      <c r="AD96">
        <v>1.3100000000000001E-2</v>
      </c>
      <c r="AE96">
        <v>3.0000000000000001E-3</v>
      </c>
      <c r="AF96">
        <v>6.93E-2</v>
      </c>
      <c r="AG96">
        <v>0.18279999999999999</v>
      </c>
      <c r="AH96">
        <v>0.72030000000000005</v>
      </c>
      <c r="AI96">
        <v>0.4027</v>
      </c>
      <c r="AJ96">
        <v>0.54349999999999998</v>
      </c>
      <c r="AK96">
        <v>2.1600000000000001E-2</v>
      </c>
      <c r="AL96">
        <v>2.5999999999999999E-3</v>
      </c>
      <c r="AM96">
        <v>8.9999999999999998E-4</v>
      </c>
      <c r="AN96">
        <v>2.7199999999999998E-2</v>
      </c>
      <c r="AO96">
        <v>0.61629999999999996</v>
      </c>
      <c r="AP96">
        <v>0.53779999999999994</v>
      </c>
      <c r="AQ96">
        <v>0.64490000000000003</v>
      </c>
      <c r="AR96">
        <v>5.2900000000000003E-2</v>
      </c>
    </row>
    <row r="97" spans="1:78" x14ac:dyDescent="0.2">
      <c r="A97">
        <v>96</v>
      </c>
      <c r="B97" t="s">
        <v>238</v>
      </c>
      <c r="C97" t="s">
        <v>239</v>
      </c>
      <c r="E97" t="s">
        <v>230</v>
      </c>
      <c r="F97" t="s">
        <v>240</v>
      </c>
      <c r="G97" t="s">
        <v>248</v>
      </c>
      <c r="H97">
        <v>0.84067857099999999</v>
      </c>
      <c r="I97">
        <v>4.995213165</v>
      </c>
      <c r="J97">
        <f t="shared" si="2"/>
        <v>2.6585634860287461</v>
      </c>
      <c r="K97">
        <f t="shared" si="3"/>
        <v>0.93597699086360009</v>
      </c>
      <c r="L97">
        <v>28</v>
      </c>
      <c r="M97" t="s">
        <v>154</v>
      </c>
      <c r="N97">
        <v>1.1000000000000001E-3</v>
      </c>
      <c r="O97">
        <v>5.7999999999999996E-3</v>
      </c>
      <c r="P97">
        <v>1.0732999999999999</v>
      </c>
      <c r="Q97">
        <v>5.9999999999999995E-4</v>
      </c>
      <c r="R97">
        <v>3.95E-2</v>
      </c>
      <c r="T97">
        <v>1.5599999999999999E-2</v>
      </c>
      <c r="U97">
        <v>6.0620000000000003</v>
      </c>
      <c r="V97">
        <v>1.1000000000000001E-3</v>
      </c>
      <c r="X97">
        <v>0.28079999999999999</v>
      </c>
      <c r="Y97">
        <v>2.3E-2</v>
      </c>
      <c r="Z97">
        <v>1.8506</v>
      </c>
      <c r="AA97">
        <v>2.8E-3</v>
      </c>
      <c r="AB97">
        <v>4.4000000000000003E-3</v>
      </c>
      <c r="AC97">
        <v>1.1000000000000001E-3</v>
      </c>
      <c r="AD97">
        <v>1.1197999999999999</v>
      </c>
      <c r="AE97">
        <v>1.1299999999999999E-2</v>
      </c>
      <c r="AF97">
        <v>1.1073999999999999</v>
      </c>
      <c r="AG97">
        <v>10.4991</v>
      </c>
      <c r="AI97">
        <v>0.02</v>
      </c>
      <c r="AJ97">
        <v>9.1999999999999998E-3</v>
      </c>
      <c r="AK97">
        <v>0.15049999999999999</v>
      </c>
      <c r="AL97">
        <v>0.10249999999999999</v>
      </c>
      <c r="AM97">
        <v>1.34E-2</v>
      </c>
      <c r="AN97">
        <v>7.22E-2</v>
      </c>
      <c r="AO97">
        <v>0.58540000000000003</v>
      </c>
      <c r="AP97">
        <v>5.8999999999999999E-3</v>
      </c>
      <c r="AQ97">
        <v>0.39019999999999999</v>
      </c>
      <c r="AR97">
        <v>9.0399999999999994E-2</v>
      </c>
    </row>
    <row r="98" spans="1:78" x14ac:dyDescent="0.2">
      <c r="A98">
        <v>97</v>
      </c>
      <c r="B98" t="s">
        <v>238</v>
      </c>
      <c r="C98" t="s">
        <v>239</v>
      </c>
      <c r="E98" t="s">
        <v>230</v>
      </c>
      <c r="F98" t="s">
        <v>240</v>
      </c>
      <c r="G98" t="s">
        <v>249</v>
      </c>
      <c r="H98">
        <v>0.60031290299999995</v>
      </c>
      <c r="I98">
        <v>0.840477578</v>
      </c>
      <c r="J98">
        <f t="shared" si="2"/>
        <v>1.5271629804172853</v>
      </c>
      <c r="K98">
        <f t="shared" si="3"/>
        <v>0.83660048775747931</v>
      </c>
      <c r="L98">
        <v>31</v>
      </c>
      <c r="M98" t="s">
        <v>154</v>
      </c>
      <c r="N98">
        <v>0.45839999999999997</v>
      </c>
      <c r="O98">
        <v>0.87119999999999997</v>
      </c>
      <c r="P98">
        <v>0.29599999999999999</v>
      </c>
      <c r="Q98">
        <v>2.23E-2</v>
      </c>
      <c r="R98">
        <v>8.8099999999999998E-2</v>
      </c>
      <c r="S98">
        <v>0.41770000000000002</v>
      </c>
      <c r="T98">
        <v>1.9869000000000001</v>
      </c>
      <c r="U98">
        <v>1.0284</v>
      </c>
      <c r="V98">
        <v>5.8000000000000003E-2</v>
      </c>
      <c r="W98">
        <v>4.3099999999999999E-2</v>
      </c>
      <c r="X98">
        <v>0.74790000000000001</v>
      </c>
      <c r="Y98">
        <v>2.0777000000000001</v>
      </c>
      <c r="Z98">
        <v>0.1447</v>
      </c>
      <c r="AA98">
        <v>3.8100000000000002E-2</v>
      </c>
      <c r="AB98">
        <v>1.0800000000000001E-2</v>
      </c>
      <c r="AC98">
        <v>0.1603</v>
      </c>
      <c r="AD98">
        <v>0.42549999999999999</v>
      </c>
      <c r="AE98">
        <v>0.63149999999999995</v>
      </c>
      <c r="AF98">
        <v>4.2636000000000003</v>
      </c>
      <c r="AG98">
        <v>1.7888999999999999</v>
      </c>
      <c r="AH98">
        <v>3.4299999999999997E-2</v>
      </c>
      <c r="AI98">
        <v>4.7600000000000003E-2</v>
      </c>
      <c r="AJ98">
        <v>5.91E-2</v>
      </c>
      <c r="AK98">
        <v>9.3399999999999997E-2</v>
      </c>
      <c r="AL98">
        <v>0.26229999999999998</v>
      </c>
      <c r="AM98">
        <v>0.5696</v>
      </c>
      <c r="AN98">
        <v>1.6751</v>
      </c>
      <c r="AO98">
        <v>0.16</v>
      </c>
      <c r="AP98">
        <v>2.3800000000000002E-2</v>
      </c>
      <c r="AQ98">
        <v>0.10920000000000001</v>
      </c>
      <c r="AR98">
        <v>1.6199999999999999E-2</v>
      </c>
    </row>
    <row r="99" spans="1:78" x14ac:dyDescent="0.2">
      <c r="A99">
        <v>98</v>
      </c>
      <c r="B99" t="s">
        <v>238</v>
      </c>
      <c r="C99" t="s">
        <v>239</v>
      </c>
      <c r="E99" t="s">
        <v>230</v>
      </c>
      <c r="F99" t="s">
        <v>240</v>
      </c>
      <c r="G99" t="s">
        <v>250</v>
      </c>
      <c r="H99">
        <v>4.6956667000000001E-2</v>
      </c>
      <c r="I99">
        <v>2.6341820000000001E-3</v>
      </c>
      <c r="J99">
        <f t="shared" si="2"/>
        <v>1.0930137514216973</v>
      </c>
      <c r="K99">
        <f t="shared" si="3"/>
        <v>0.73780248878951038</v>
      </c>
      <c r="L99">
        <v>30</v>
      </c>
      <c r="M99" t="s">
        <v>154</v>
      </c>
      <c r="N99">
        <v>1.29E-2</v>
      </c>
      <c r="O99">
        <v>2.9399999999999999E-2</v>
      </c>
      <c r="P99">
        <v>3.6900000000000002E-2</v>
      </c>
      <c r="Q99">
        <v>2.8999999999999998E-3</v>
      </c>
      <c r="S99">
        <v>4.7100000000000003E-2</v>
      </c>
      <c r="T99">
        <v>8.1600000000000006E-2</v>
      </c>
      <c r="U99">
        <v>0.1658</v>
      </c>
      <c r="V99">
        <v>2.0999999999999999E-3</v>
      </c>
      <c r="W99">
        <v>8.9999999999999998E-4</v>
      </c>
      <c r="X99">
        <v>4.1300000000000003E-2</v>
      </c>
      <c r="Y99">
        <v>0.1056</v>
      </c>
      <c r="Z99">
        <v>6.2700000000000006E-2</v>
      </c>
      <c r="AA99">
        <v>2.3E-3</v>
      </c>
      <c r="AB99">
        <v>2.0999999999999999E-3</v>
      </c>
      <c r="AC99">
        <v>6.1999999999999998E-3</v>
      </c>
      <c r="AD99">
        <v>1.5800000000000002E-2</v>
      </c>
      <c r="AE99">
        <v>2.7199999999999998E-2</v>
      </c>
      <c r="AF99">
        <v>1.7899999999999999E-2</v>
      </c>
      <c r="AG99">
        <v>5.7599999999999998E-2</v>
      </c>
      <c r="AH99">
        <v>8.0999999999999996E-3</v>
      </c>
      <c r="AI99">
        <v>3.5999999999999999E-3</v>
      </c>
      <c r="AJ99">
        <v>4.8399999999999999E-2</v>
      </c>
      <c r="AK99">
        <v>1.49E-2</v>
      </c>
      <c r="AL99">
        <v>1.3899999999999999E-2</v>
      </c>
      <c r="AM99">
        <v>0.1792</v>
      </c>
      <c r="AN99">
        <v>9.7900000000000001E-2</v>
      </c>
      <c r="AO99">
        <v>0.14249999999999999</v>
      </c>
      <c r="AP99">
        <v>9.1000000000000004E-3</v>
      </c>
      <c r="AQ99">
        <v>0.12139999999999999</v>
      </c>
      <c r="AR99">
        <v>5.1400000000000001E-2</v>
      </c>
    </row>
    <row r="100" spans="1:78" x14ac:dyDescent="0.2">
      <c r="A100">
        <v>99</v>
      </c>
      <c r="B100" t="s">
        <v>238</v>
      </c>
      <c r="C100" t="s">
        <v>239</v>
      </c>
      <c r="E100" t="s">
        <v>230</v>
      </c>
      <c r="F100" t="s">
        <v>240</v>
      </c>
      <c r="G100" t="s">
        <v>251</v>
      </c>
      <c r="H100">
        <v>1.2703704E-2</v>
      </c>
      <c r="I100">
        <v>1.9472200000000001E-4</v>
      </c>
      <c r="J100">
        <f t="shared" si="2"/>
        <v>1.0984420368092744</v>
      </c>
      <c r="K100">
        <f t="shared" si="3"/>
        <v>0.73946531345461586</v>
      </c>
      <c r="L100">
        <v>27</v>
      </c>
      <c r="M100" t="s">
        <v>154</v>
      </c>
      <c r="P100">
        <v>1.8499999999999999E-2</v>
      </c>
      <c r="Q100">
        <v>4.7000000000000002E-3</v>
      </c>
      <c r="R100">
        <v>2.8E-3</v>
      </c>
      <c r="S100">
        <v>2.9999999999999997E-4</v>
      </c>
      <c r="U100">
        <v>5.1799999999999999E-2</v>
      </c>
      <c r="V100">
        <v>4.0500000000000001E-2</v>
      </c>
      <c r="W100">
        <v>1.7100000000000001E-2</v>
      </c>
      <c r="X100">
        <v>3.5000000000000001E-3</v>
      </c>
      <c r="Y100">
        <v>1E-4</v>
      </c>
      <c r="Z100">
        <v>3.2899999999999999E-2</v>
      </c>
      <c r="AA100">
        <v>3.3E-3</v>
      </c>
      <c r="AB100">
        <v>1.37E-2</v>
      </c>
      <c r="AC100">
        <v>1.72E-2</v>
      </c>
      <c r="AD100">
        <v>3.8999999999999998E-3</v>
      </c>
      <c r="AE100">
        <v>6.9999999999999999E-4</v>
      </c>
      <c r="AG100">
        <v>3.5000000000000003E-2</v>
      </c>
      <c r="AH100">
        <v>1.7399999999999999E-2</v>
      </c>
      <c r="AI100">
        <v>3.0000000000000001E-3</v>
      </c>
      <c r="AJ100">
        <v>1.6999999999999999E-3</v>
      </c>
      <c r="AK100">
        <v>2.8999999999999998E-3</v>
      </c>
      <c r="AL100">
        <v>1.5E-3</v>
      </c>
      <c r="AM100">
        <v>1.6999999999999999E-3</v>
      </c>
      <c r="AN100">
        <v>4.0000000000000001E-3</v>
      </c>
      <c r="AO100">
        <v>1.72E-2</v>
      </c>
      <c r="AP100">
        <v>2.46E-2</v>
      </c>
      <c r="AQ100">
        <v>1.83E-2</v>
      </c>
      <c r="AR100">
        <v>4.7000000000000002E-3</v>
      </c>
    </row>
    <row r="101" spans="1:78" x14ac:dyDescent="0.2">
      <c r="A101">
        <v>100</v>
      </c>
      <c r="B101" t="s">
        <v>238</v>
      </c>
      <c r="C101" t="s">
        <v>239</v>
      </c>
      <c r="E101" t="s">
        <v>230</v>
      </c>
      <c r="F101" t="s">
        <v>240</v>
      </c>
      <c r="G101" t="s">
        <v>252</v>
      </c>
      <c r="H101">
        <v>11.50341613</v>
      </c>
      <c r="I101">
        <v>72.781046000000003</v>
      </c>
      <c r="J101">
        <f t="shared" si="2"/>
        <v>0.74162150728378728</v>
      </c>
      <c r="K101">
        <f t="shared" si="3"/>
        <v>0.5956842566633912</v>
      </c>
      <c r="L101">
        <v>31</v>
      </c>
      <c r="M101" t="s">
        <v>154</v>
      </c>
      <c r="N101">
        <v>2.7988</v>
      </c>
      <c r="O101">
        <v>2.5598000000000001</v>
      </c>
      <c r="P101">
        <v>19.772099999999998</v>
      </c>
      <c r="Q101">
        <v>16.334399999999999</v>
      </c>
      <c r="R101">
        <v>8.7063000000000006</v>
      </c>
      <c r="S101">
        <v>2.1331000000000002</v>
      </c>
      <c r="T101">
        <v>5.3772000000000002</v>
      </c>
      <c r="U101">
        <v>27.788699999999999</v>
      </c>
      <c r="V101">
        <v>24.114999999999998</v>
      </c>
      <c r="W101">
        <v>7.0801999999999996</v>
      </c>
      <c r="X101">
        <v>11.632400000000001</v>
      </c>
      <c r="Y101">
        <v>7.8841000000000001</v>
      </c>
      <c r="Z101">
        <v>18.476600000000001</v>
      </c>
      <c r="AA101">
        <v>7.2956000000000003</v>
      </c>
      <c r="AB101">
        <v>16.298500000000001</v>
      </c>
      <c r="AC101">
        <v>13.211</v>
      </c>
      <c r="AD101">
        <v>9.3801000000000005</v>
      </c>
      <c r="AE101">
        <v>2.2250000000000001</v>
      </c>
      <c r="AF101">
        <v>7.2873000000000001</v>
      </c>
      <c r="AG101">
        <v>8.1973000000000003</v>
      </c>
      <c r="AH101">
        <v>24.7257</v>
      </c>
      <c r="AI101">
        <v>13.8095</v>
      </c>
      <c r="AJ101">
        <v>7.7302</v>
      </c>
      <c r="AK101">
        <v>4.7862</v>
      </c>
      <c r="AL101">
        <v>6.2649999999999997</v>
      </c>
      <c r="AM101">
        <v>6.1317000000000004</v>
      </c>
      <c r="AN101">
        <v>4.4066999999999998</v>
      </c>
      <c r="AO101">
        <v>37.448799999999999</v>
      </c>
      <c r="AP101">
        <v>5.6966999999999999</v>
      </c>
      <c r="AQ101">
        <v>19.571300000000001</v>
      </c>
      <c r="AR101">
        <v>7.4805999999999999</v>
      </c>
    </row>
    <row r="102" spans="1:78" x14ac:dyDescent="0.2">
      <c r="A102">
        <v>101</v>
      </c>
      <c r="B102" t="s">
        <v>253</v>
      </c>
      <c r="C102" t="s">
        <v>254</v>
      </c>
      <c r="D102" t="s">
        <v>255</v>
      </c>
      <c r="E102" t="s">
        <v>230</v>
      </c>
      <c r="F102" t="s">
        <v>240</v>
      </c>
      <c r="G102" t="s">
        <v>256</v>
      </c>
      <c r="H102">
        <v>5.2096551719999997</v>
      </c>
      <c r="I102">
        <v>20.00054802</v>
      </c>
      <c r="J102">
        <f t="shared" si="2"/>
        <v>0.85844400011635136</v>
      </c>
      <c r="K102">
        <f t="shared" si="3"/>
        <v>0.6513603206551678</v>
      </c>
      <c r="L102">
        <v>29</v>
      </c>
      <c r="M102" t="s">
        <v>154</v>
      </c>
      <c r="N102">
        <v>3</v>
      </c>
      <c r="O102">
        <v>3</v>
      </c>
      <c r="P102">
        <v>4</v>
      </c>
      <c r="Q102">
        <v>3</v>
      </c>
      <c r="R102">
        <v>5</v>
      </c>
      <c r="S102">
        <v>6</v>
      </c>
      <c r="T102">
        <v>1</v>
      </c>
      <c r="U102">
        <v>2</v>
      </c>
      <c r="V102">
        <v>5</v>
      </c>
      <c r="W102">
        <v>4</v>
      </c>
      <c r="X102">
        <v>3</v>
      </c>
      <c r="Y102">
        <v>5</v>
      </c>
      <c r="Z102">
        <v>4</v>
      </c>
      <c r="AA102">
        <v>2</v>
      </c>
      <c r="AB102">
        <v>4</v>
      </c>
      <c r="AC102">
        <v>5</v>
      </c>
      <c r="AD102">
        <v>4</v>
      </c>
      <c r="AE102">
        <v>3</v>
      </c>
      <c r="AF102">
        <v>4</v>
      </c>
      <c r="AG102">
        <v>12</v>
      </c>
      <c r="AH102">
        <v>3</v>
      </c>
      <c r="AI102">
        <v>9</v>
      </c>
      <c r="AJ102">
        <v>4</v>
      </c>
      <c r="AK102">
        <v>7</v>
      </c>
      <c r="AL102">
        <v>4</v>
      </c>
      <c r="AM102">
        <v>6</v>
      </c>
      <c r="AN102">
        <v>6</v>
      </c>
      <c r="AO102">
        <v>2</v>
      </c>
      <c r="AP102">
        <v>25</v>
      </c>
    </row>
    <row r="103" spans="1:78" x14ac:dyDescent="0.2">
      <c r="A103">
        <v>102</v>
      </c>
      <c r="B103" t="s">
        <v>257</v>
      </c>
      <c r="C103" t="s">
        <v>258</v>
      </c>
      <c r="D103" t="s">
        <v>259</v>
      </c>
      <c r="E103" t="s">
        <v>230</v>
      </c>
      <c r="F103" t="s">
        <v>240</v>
      </c>
      <c r="G103" t="s">
        <v>256</v>
      </c>
      <c r="H103">
        <v>0.298189655</v>
      </c>
      <c r="I103">
        <v>0.14476124400000001</v>
      </c>
      <c r="J103">
        <f t="shared" si="2"/>
        <v>1.2759497781619771</v>
      </c>
      <c r="K103">
        <f t="shared" si="3"/>
        <v>0.7870765035691879</v>
      </c>
      <c r="L103">
        <v>58</v>
      </c>
      <c r="M103" t="s">
        <v>154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0</v>
      </c>
      <c r="AI103">
        <v>0</v>
      </c>
      <c r="AJ103">
        <v>1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8" x14ac:dyDescent="0.2">
      <c r="A104">
        <v>103</v>
      </c>
      <c r="B104" t="s">
        <v>260</v>
      </c>
      <c r="C104" t="s">
        <v>261</v>
      </c>
      <c r="D104" t="s">
        <v>259</v>
      </c>
      <c r="E104" t="s">
        <v>230</v>
      </c>
      <c r="F104" t="s">
        <v>240</v>
      </c>
      <c r="G104" t="s">
        <v>256</v>
      </c>
      <c r="H104">
        <v>0.99288571400000003</v>
      </c>
      <c r="I104">
        <v>0.78902516300000003</v>
      </c>
      <c r="J104">
        <f t="shared" si="2"/>
        <v>0.8946355771578296</v>
      </c>
      <c r="K104">
        <f t="shared" si="3"/>
        <v>0.66675294319386724</v>
      </c>
      <c r="L104">
        <v>35</v>
      </c>
      <c r="M104" t="s">
        <v>154</v>
      </c>
      <c r="N104">
        <v>3</v>
      </c>
      <c r="O104">
        <v>2</v>
      </c>
      <c r="P104">
        <v>0</v>
      </c>
      <c r="Q104">
        <v>1</v>
      </c>
      <c r="R104">
        <v>1</v>
      </c>
      <c r="S104">
        <v>0</v>
      </c>
      <c r="U104">
        <v>1</v>
      </c>
      <c r="V104">
        <v>1</v>
      </c>
      <c r="W104">
        <v>2</v>
      </c>
      <c r="X104">
        <v>0</v>
      </c>
      <c r="Y104">
        <v>0</v>
      </c>
      <c r="Z104">
        <v>2</v>
      </c>
      <c r="AA104">
        <v>4</v>
      </c>
      <c r="AB104">
        <v>0</v>
      </c>
      <c r="AC104">
        <v>1</v>
      </c>
      <c r="AD104">
        <v>2</v>
      </c>
      <c r="AE104">
        <v>0</v>
      </c>
      <c r="AF104">
        <v>2</v>
      </c>
      <c r="AG104">
        <v>1</v>
      </c>
      <c r="AH104">
        <v>1</v>
      </c>
      <c r="AI104">
        <v>3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1</v>
      </c>
      <c r="AS104">
        <v>0</v>
      </c>
      <c r="AT104">
        <v>0</v>
      </c>
      <c r="AV104">
        <v>1</v>
      </c>
      <c r="AW104">
        <v>0</v>
      </c>
      <c r="AX104">
        <v>0</v>
      </c>
    </row>
    <row r="105" spans="1:78" x14ac:dyDescent="0.2">
      <c r="A105">
        <v>104</v>
      </c>
      <c r="B105" t="s">
        <v>262</v>
      </c>
      <c r="C105" t="s">
        <v>263</v>
      </c>
      <c r="D105" t="s">
        <v>259</v>
      </c>
      <c r="E105" t="s">
        <v>230</v>
      </c>
      <c r="F105" t="s">
        <v>240</v>
      </c>
      <c r="G105" t="s">
        <v>256</v>
      </c>
      <c r="H105">
        <v>0.189020408</v>
      </c>
      <c r="I105">
        <v>9.6114562000000001E-2</v>
      </c>
      <c r="J105">
        <f t="shared" si="2"/>
        <v>1.6401588034192249</v>
      </c>
      <c r="K105">
        <f t="shared" si="3"/>
        <v>0.85381858079355111</v>
      </c>
      <c r="L105">
        <v>49</v>
      </c>
      <c r="M105" t="s">
        <v>154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1</v>
      </c>
      <c r="AX105">
        <v>0</v>
      </c>
      <c r="AZ105">
        <v>0</v>
      </c>
      <c r="BA105">
        <v>0</v>
      </c>
      <c r="BB105">
        <v>1</v>
      </c>
      <c r="BC105">
        <v>0</v>
      </c>
      <c r="BF105">
        <v>0</v>
      </c>
      <c r="BG105">
        <v>0</v>
      </c>
      <c r="BH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</row>
    <row r="106" spans="1:78" x14ac:dyDescent="0.2">
      <c r="A106">
        <v>105</v>
      </c>
      <c r="B106" t="s">
        <v>264</v>
      </c>
      <c r="C106" t="s">
        <v>265</v>
      </c>
      <c r="D106" t="s">
        <v>259</v>
      </c>
      <c r="E106" t="s">
        <v>230</v>
      </c>
      <c r="F106" t="s">
        <v>240</v>
      </c>
      <c r="G106" t="s">
        <v>256</v>
      </c>
      <c r="H106">
        <v>0.14196969700000001</v>
      </c>
      <c r="I106">
        <v>4.332503E-2</v>
      </c>
      <c r="J106">
        <f t="shared" si="2"/>
        <v>1.46613438943645</v>
      </c>
      <c r="K106">
        <f t="shared" si="3"/>
        <v>0.82613215009080332</v>
      </c>
      <c r="L106">
        <v>33</v>
      </c>
      <c r="M106" t="s">
        <v>154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</row>
    <row r="107" spans="1:78" x14ac:dyDescent="0.2">
      <c r="A107">
        <v>106</v>
      </c>
      <c r="B107" t="s">
        <v>266</v>
      </c>
      <c r="C107" t="s">
        <v>267</v>
      </c>
      <c r="D107" t="s">
        <v>259</v>
      </c>
      <c r="E107" t="s">
        <v>230</v>
      </c>
      <c r="F107" t="s">
        <v>240</v>
      </c>
      <c r="G107" t="s">
        <v>256</v>
      </c>
      <c r="H107">
        <v>0.34563157900000002</v>
      </c>
      <c r="I107">
        <v>0.14122791200000001</v>
      </c>
      <c r="J107">
        <f t="shared" si="2"/>
        <v>1.0872936551678785</v>
      </c>
      <c r="K107">
        <f t="shared" si="3"/>
        <v>0.73603562031298431</v>
      </c>
      <c r="L107">
        <v>19</v>
      </c>
      <c r="M107" t="s">
        <v>154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</row>
    <row r="108" spans="1:78" x14ac:dyDescent="0.2">
      <c r="A108">
        <v>107</v>
      </c>
      <c r="B108" t="s">
        <v>268</v>
      </c>
      <c r="C108" t="s">
        <v>269</v>
      </c>
      <c r="D108" t="s">
        <v>270</v>
      </c>
      <c r="E108" t="s">
        <v>230</v>
      </c>
      <c r="F108" t="s">
        <v>240</v>
      </c>
      <c r="G108" t="s">
        <v>271</v>
      </c>
      <c r="H108">
        <v>3.6686359999999999E-3</v>
      </c>
      <c r="I108" s="1">
        <v>3.7057500000000002E-5</v>
      </c>
      <c r="J108">
        <f t="shared" si="2"/>
        <v>1.6593325601970073</v>
      </c>
      <c r="K108">
        <f t="shared" si="3"/>
        <v>0.85648922648489845</v>
      </c>
      <c r="L108">
        <v>44</v>
      </c>
      <c r="M108" t="s">
        <v>154</v>
      </c>
      <c r="N108">
        <v>2.7E-4</v>
      </c>
      <c r="O108">
        <v>1.6000000000000001E-4</v>
      </c>
      <c r="P108">
        <v>1.8000000000000001E-4</v>
      </c>
      <c r="Q108">
        <v>1.92E-3</v>
      </c>
      <c r="R108">
        <v>1.294E-2</v>
      </c>
      <c r="S108">
        <v>2.0000000000000001E-4</v>
      </c>
      <c r="U108">
        <v>1.4999999999999999E-4</v>
      </c>
      <c r="V108">
        <v>3.5400000000000002E-3</v>
      </c>
      <c r="W108">
        <v>2.1199999999999999E-3</v>
      </c>
      <c r="X108">
        <v>1.7000000000000001E-4</v>
      </c>
      <c r="AB108">
        <v>2.1000000000000001E-4</v>
      </c>
      <c r="AC108">
        <v>5.94E-3</v>
      </c>
      <c r="AD108">
        <v>3.9399999999999999E-3</v>
      </c>
      <c r="AE108">
        <v>1.4E-3</v>
      </c>
      <c r="AI108">
        <v>1.9000000000000001E-4</v>
      </c>
      <c r="AJ108">
        <v>1.9000000000000001E-4</v>
      </c>
      <c r="AL108">
        <v>8.6099999999999996E-3</v>
      </c>
      <c r="AM108">
        <v>2.1000000000000001E-4</v>
      </c>
      <c r="AO108">
        <v>1.7000000000000001E-4</v>
      </c>
      <c r="AP108">
        <v>3.7399999999999998E-3</v>
      </c>
      <c r="AQ108">
        <v>1.257E-2</v>
      </c>
      <c r="AT108">
        <v>2.1900000000000001E-3</v>
      </c>
      <c r="AU108">
        <v>6.6400000000000001E-3</v>
      </c>
      <c r="AV108">
        <v>3.2870000000000003E-2</v>
      </c>
      <c r="AW108">
        <v>5.0200000000000002E-3</v>
      </c>
      <c r="AX108">
        <v>1.8000000000000001E-4</v>
      </c>
      <c r="AY108">
        <v>2.0000000000000001E-4</v>
      </c>
      <c r="AZ108">
        <v>1.6000000000000001E-3</v>
      </c>
      <c r="BA108">
        <v>8.0999999999999996E-3</v>
      </c>
      <c r="BB108">
        <v>4.3E-3</v>
      </c>
      <c r="BC108">
        <v>2.0000000000000001E-4</v>
      </c>
      <c r="BG108">
        <v>1.01E-3</v>
      </c>
      <c r="BJ108">
        <v>1.0749999999999999E-2</v>
      </c>
      <c r="BK108">
        <v>6.3000000000000003E-4</v>
      </c>
      <c r="BL108">
        <v>1.8799999999999999E-3</v>
      </c>
      <c r="BN108">
        <v>3.8999999999999999E-4</v>
      </c>
      <c r="BO108">
        <v>2.0000000000000001E-4</v>
      </c>
      <c r="BQ108">
        <v>4.4999999999999999E-4</v>
      </c>
      <c r="BR108">
        <v>1.7100000000000001E-2</v>
      </c>
      <c r="BS108">
        <v>2.7E-4</v>
      </c>
      <c r="BU108">
        <v>6.2599999999999999E-3</v>
      </c>
      <c r="BV108">
        <v>2.0699999999999998E-3</v>
      </c>
      <c r="BW108">
        <v>1.8000000000000001E-4</v>
      </c>
      <c r="BX108">
        <v>1.1E-4</v>
      </c>
    </row>
    <row r="109" spans="1:78" x14ac:dyDescent="0.2">
      <c r="A109">
        <v>108</v>
      </c>
      <c r="B109" t="s">
        <v>268</v>
      </c>
      <c r="C109" t="s">
        <v>269</v>
      </c>
      <c r="D109" t="s">
        <v>270</v>
      </c>
      <c r="E109" t="s">
        <v>230</v>
      </c>
      <c r="F109" t="s">
        <v>240</v>
      </c>
      <c r="G109" t="s">
        <v>272</v>
      </c>
      <c r="H109">
        <v>4.5689290000000002E-3</v>
      </c>
      <c r="I109" s="1">
        <v>8.5748999999999995E-5</v>
      </c>
      <c r="J109">
        <f t="shared" si="2"/>
        <v>2.0267497248576043</v>
      </c>
      <c r="K109">
        <f t="shared" si="3"/>
        <v>0.89678186650759317</v>
      </c>
      <c r="L109">
        <v>56</v>
      </c>
      <c r="M109" t="s">
        <v>154</v>
      </c>
      <c r="N109">
        <v>3.2200000000000002E-3</v>
      </c>
      <c r="O109">
        <v>2.0400000000000001E-3</v>
      </c>
      <c r="P109">
        <v>1.9499999999999999E-3</v>
      </c>
      <c r="Q109">
        <v>2.9999999999999997E-4</v>
      </c>
      <c r="R109">
        <v>9.5E-4</v>
      </c>
      <c r="S109">
        <v>4.1799999999999997E-3</v>
      </c>
      <c r="T109">
        <v>1.6000000000000001E-3</v>
      </c>
      <c r="U109">
        <v>1E-4</v>
      </c>
      <c r="V109">
        <v>1.0200000000000001E-3</v>
      </c>
      <c r="W109">
        <v>2.5899999999999999E-3</v>
      </c>
      <c r="X109">
        <v>2E-3</v>
      </c>
      <c r="Y109">
        <v>2.2499999999999998E-3</v>
      </c>
      <c r="Z109">
        <v>8.6400000000000001E-3</v>
      </c>
      <c r="AA109">
        <v>3.0999999999999999E-3</v>
      </c>
      <c r="AB109">
        <v>1.91E-3</v>
      </c>
      <c r="AC109">
        <v>2.96E-3</v>
      </c>
      <c r="AD109">
        <v>2.5400000000000002E-3</v>
      </c>
      <c r="AE109">
        <v>6.9899999999999997E-3</v>
      </c>
      <c r="AI109">
        <v>3.31E-3</v>
      </c>
      <c r="AJ109">
        <v>1.5499999999999999E-3</v>
      </c>
      <c r="AL109">
        <v>3.9100000000000003E-3</v>
      </c>
      <c r="AM109">
        <v>3.5799999999999998E-3</v>
      </c>
      <c r="AN109">
        <v>4.7699999999999999E-3</v>
      </c>
      <c r="AO109">
        <v>3.2000000000000003E-4</v>
      </c>
      <c r="AP109">
        <v>1.3699999999999999E-3</v>
      </c>
      <c r="AQ109">
        <v>2.8500000000000001E-3</v>
      </c>
      <c r="AR109">
        <v>6.3899999999999998E-3</v>
      </c>
      <c r="AS109">
        <v>6.13E-3</v>
      </c>
      <c r="AT109">
        <v>5.3200000000000001E-3</v>
      </c>
      <c r="AU109">
        <v>1.1E-4</v>
      </c>
      <c r="AV109">
        <v>1.1E-4</v>
      </c>
      <c r="AW109">
        <v>3.5000000000000001E-3</v>
      </c>
      <c r="AX109">
        <v>2.5500000000000002E-3</v>
      </c>
      <c r="AY109">
        <v>3.1900000000000001E-3</v>
      </c>
      <c r="AZ109">
        <v>2.0500000000000002E-3</v>
      </c>
      <c r="BA109">
        <v>4.3200000000000001E-3</v>
      </c>
      <c r="BB109">
        <v>6.1700000000000001E-3</v>
      </c>
      <c r="BC109">
        <v>1.9E-3</v>
      </c>
      <c r="BD109">
        <v>1.7600000000000001E-3</v>
      </c>
      <c r="BG109">
        <v>2.9299999999999999E-3</v>
      </c>
      <c r="BJ109">
        <v>7.1599999999999997E-3</v>
      </c>
      <c r="BK109">
        <v>1.3799999999999999E-3</v>
      </c>
      <c r="BL109">
        <v>8.3700000000000007E-3</v>
      </c>
      <c r="BM109">
        <v>8.9499999999999996E-3</v>
      </c>
      <c r="BN109">
        <v>2.2000000000000001E-4</v>
      </c>
      <c r="BO109">
        <v>9.8999999999999999E-4</v>
      </c>
      <c r="BQ109">
        <v>2.4000000000000001E-4</v>
      </c>
      <c r="BR109">
        <v>2.1199999999999999E-3</v>
      </c>
      <c r="BS109">
        <v>2.3999999999999998E-3</v>
      </c>
      <c r="BT109">
        <v>2.0200000000000001E-3</v>
      </c>
      <c r="BU109">
        <v>2.3400000000000001E-3</v>
      </c>
      <c r="BV109">
        <v>7.2000000000000005E-4</v>
      </c>
      <c r="BW109">
        <v>4.521E-2</v>
      </c>
      <c r="BX109">
        <v>5.586E-2</v>
      </c>
      <c r="BY109">
        <v>1.1E-4</v>
      </c>
      <c r="BZ109">
        <v>1.34E-3</v>
      </c>
    </row>
    <row r="110" spans="1:78" x14ac:dyDescent="0.2">
      <c r="A110">
        <v>109</v>
      </c>
      <c r="B110" t="s">
        <v>268</v>
      </c>
      <c r="C110" t="s">
        <v>269</v>
      </c>
      <c r="D110" t="s">
        <v>270</v>
      </c>
      <c r="E110" t="s">
        <v>230</v>
      </c>
      <c r="F110" t="s">
        <v>240</v>
      </c>
      <c r="G110" t="s">
        <v>273</v>
      </c>
      <c r="H110">
        <v>1.1937209000000001E-2</v>
      </c>
      <c r="I110" s="1">
        <v>9.6501200000000004E-5</v>
      </c>
      <c r="J110">
        <f t="shared" si="2"/>
        <v>0.82293125892293562</v>
      </c>
      <c r="K110">
        <f t="shared" si="3"/>
        <v>0.6354319963840156</v>
      </c>
      <c r="L110">
        <v>43</v>
      </c>
      <c r="M110" t="s">
        <v>154</v>
      </c>
      <c r="N110">
        <v>3.031E-2</v>
      </c>
      <c r="O110">
        <v>3.7879999999999997E-2</v>
      </c>
      <c r="P110">
        <v>1.6320000000000001E-2</v>
      </c>
      <c r="Q110">
        <v>3.47E-3</v>
      </c>
      <c r="R110">
        <v>2.512E-2</v>
      </c>
      <c r="S110">
        <v>6.2399999999999999E-3</v>
      </c>
      <c r="T110">
        <v>1.487E-2</v>
      </c>
      <c r="X110">
        <v>1.282E-2</v>
      </c>
      <c r="Y110">
        <v>1.353E-2</v>
      </c>
      <c r="Z110">
        <v>1.191E-2</v>
      </c>
      <c r="AA110">
        <v>1.7090000000000001E-2</v>
      </c>
      <c r="AB110">
        <v>4.7000000000000002E-3</v>
      </c>
      <c r="AD110">
        <v>2.7999999999999998E-4</v>
      </c>
      <c r="AE110">
        <v>1.4E-3</v>
      </c>
      <c r="AI110">
        <v>1.047E-2</v>
      </c>
      <c r="AJ110">
        <v>2.5760000000000002E-2</v>
      </c>
      <c r="AM110">
        <v>3.048E-2</v>
      </c>
      <c r="AN110">
        <v>2.4240000000000001E-2</v>
      </c>
      <c r="AR110">
        <v>1.9000000000000001E-4</v>
      </c>
      <c r="AS110">
        <v>5.0800000000000003E-3</v>
      </c>
      <c r="AT110">
        <v>6.0099999999999997E-3</v>
      </c>
      <c r="AU110">
        <v>1.8500000000000001E-3</v>
      </c>
      <c r="AV110">
        <v>6.1700000000000001E-3</v>
      </c>
      <c r="AW110">
        <v>7.3200000000000001E-3</v>
      </c>
      <c r="AX110">
        <v>2.708E-2</v>
      </c>
      <c r="AY110">
        <v>1.242E-2</v>
      </c>
      <c r="AZ110">
        <v>1.308E-2</v>
      </c>
      <c r="BA110">
        <v>2.0000000000000001E-4</v>
      </c>
      <c r="BB110">
        <v>1.34E-3</v>
      </c>
      <c r="BC110">
        <v>1.503E-2</v>
      </c>
      <c r="BD110">
        <v>6.43E-3</v>
      </c>
      <c r="BG110">
        <v>2.8510000000000001E-2</v>
      </c>
      <c r="BJ110">
        <v>1.6250000000000001E-2</v>
      </c>
      <c r="BK110">
        <v>2.7399999999999998E-3</v>
      </c>
      <c r="BL110">
        <v>1.108E-2</v>
      </c>
      <c r="BM110">
        <v>1.9730000000000001E-2</v>
      </c>
      <c r="BN110">
        <v>3.8999999999999999E-4</v>
      </c>
      <c r="BO110">
        <v>1.7770000000000001E-2</v>
      </c>
      <c r="BS110">
        <v>3.96E-3</v>
      </c>
      <c r="BT110">
        <v>5.9699999999999996E-3</v>
      </c>
      <c r="BU110">
        <v>7.6400000000000001E-3</v>
      </c>
      <c r="BW110">
        <v>6.4200000000000004E-3</v>
      </c>
      <c r="BX110">
        <v>3.7499999999999999E-3</v>
      </c>
    </row>
    <row r="111" spans="1:78" x14ac:dyDescent="0.2">
      <c r="A111">
        <v>110</v>
      </c>
      <c r="B111" t="s">
        <v>268</v>
      </c>
      <c r="C111" t="s">
        <v>269</v>
      </c>
      <c r="D111" t="s">
        <v>270</v>
      </c>
      <c r="E111" t="s">
        <v>230</v>
      </c>
      <c r="F111" t="s">
        <v>240</v>
      </c>
      <c r="G111" t="s">
        <v>274</v>
      </c>
      <c r="H111">
        <v>3.2859650000000001E-3</v>
      </c>
      <c r="I111" s="1">
        <v>1.3547700000000001E-5</v>
      </c>
      <c r="J111">
        <f t="shared" si="2"/>
        <v>1.1201336710078729</v>
      </c>
      <c r="K111">
        <f t="shared" si="3"/>
        <v>0.74597714802208881</v>
      </c>
      <c r="L111">
        <v>57</v>
      </c>
      <c r="M111" t="s">
        <v>154</v>
      </c>
      <c r="N111">
        <v>2.4299999999999999E-3</v>
      </c>
      <c r="O111">
        <v>2.9199999999999999E-3</v>
      </c>
      <c r="P111">
        <v>3.3800000000000002E-3</v>
      </c>
      <c r="Q111">
        <v>1.3500000000000001E-3</v>
      </c>
      <c r="R111">
        <v>8.3000000000000001E-3</v>
      </c>
      <c r="S111">
        <v>3.2599999999999999E-3</v>
      </c>
      <c r="T111">
        <v>3.4199999999999999E-3</v>
      </c>
      <c r="U111">
        <v>1.4999999999999999E-4</v>
      </c>
      <c r="V111">
        <v>2.16E-3</v>
      </c>
      <c r="W111">
        <v>6.2500000000000003E-3</v>
      </c>
      <c r="X111">
        <v>3.2399999999999998E-3</v>
      </c>
      <c r="Y111">
        <v>2.5799999999999998E-3</v>
      </c>
      <c r="Z111">
        <v>1.34E-3</v>
      </c>
      <c r="AA111">
        <v>1.6900000000000001E-3</v>
      </c>
      <c r="AB111">
        <v>1.4599999999999999E-3</v>
      </c>
      <c r="AC111">
        <v>5.1900000000000002E-3</v>
      </c>
      <c r="AD111">
        <v>3.5699999999999998E-3</v>
      </c>
      <c r="AE111">
        <v>1.345E-2</v>
      </c>
      <c r="AI111">
        <v>1.0200000000000001E-3</v>
      </c>
      <c r="AJ111">
        <v>1.3500000000000001E-3</v>
      </c>
      <c r="AL111">
        <v>8.6099999999999996E-3</v>
      </c>
      <c r="AM111">
        <v>7.9000000000000001E-4</v>
      </c>
      <c r="AN111">
        <v>1.5399999999999999E-3</v>
      </c>
      <c r="AO111">
        <v>3.8999999999999999E-4</v>
      </c>
      <c r="AP111">
        <v>1.8000000000000001E-4</v>
      </c>
      <c r="AQ111">
        <v>3.49E-3</v>
      </c>
      <c r="AR111">
        <v>1.191E-2</v>
      </c>
      <c r="AS111">
        <v>1.17E-3</v>
      </c>
      <c r="AT111">
        <v>6.0099999999999997E-3</v>
      </c>
      <c r="AU111">
        <v>9.3000000000000005E-4</v>
      </c>
      <c r="AV111">
        <v>4.9399999999999999E-3</v>
      </c>
      <c r="AW111">
        <v>2.8900000000000002E-3</v>
      </c>
      <c r="AX111">
        <v>1.97E-3</v>
      </c>
      <c r="AY111">
        <v>3.65E-3</v>
      </c>
      <c r="AZ111">
        <v>3.2799999999999999E-3</v>
      </c>
      <c r="BA111">
        <v>4.1000000000000003E-3</v>
      </c>
      <c r="BB111">
        <v>2.0200000000000001E-3</v>
      </c>
      <c r="BC111">
        <v>1.1100000000000001E-3</v>
      </c>
      <c r="BD111">
        <v>1.6199999999999999E-3</v>
      </c>
      <c r="BG111">
        <v>7.1000000000000002E-4</v>
      </c>
      <c r="BJ111">
        <v>2.1700000000000001E-3</v>
      </c>
      <c r="BK111">
        <v>8.9999999999999998E-4</v>
      </c>
      <c r="BL111">
        <v>6.7600000000000004E-3</v>
      </c>
      <c r="BM111">
        <v>2.2200000000000002E-3</v>
      </c>
      <c r="BN111">
        <v>6.3099999999999996E-3</v>
      </c>
      <c r="BO111">
        <v>1.07E-3</v>
      </c>
      <c r="BP111">
        <v>4.4999999999999999E-4</v>
      </c>
      <c r="BQ111">
        <v>4.4999999999999999E-4</v>
      </c>
      <c r="BR111">
        <v>1.17E-3</v>
      </c>
      <c r="BS111">
        <v>2.9099999999999998E-3</v>
      </c>
      <c r="BT111">
        <v>1.8600000000000001E-3</v>
      </c>
      <c r="BU111">
        <v>4.1000000000000003E-3</v>
      </c>
      <c r="BV111">
        <v>2.1649999999999999E-2</v>
      </c>
      <c r="BW111">
        <v>2.5799999999999998E-3</v>
      </c>
      <c r="BX111">
        <v>2.2899999999999999E-3</v>
      </c>
      <c r="BY111">
        <v>1.7000000000000001E-4</v>
      </c>
      <c r="BZ111">
        <v>4.2000000000000002E-4</v>
      </c>
    </row>
    <row r="112" spans="1:78" x14ac:dyDescent="0.2">
      <c r="A112">
        <v>111</v>
      </c>
      <c r="B112" t="s">
        <v>268</v>
      </c>
      <c r="C112" t="s">
        <v>269</v>
      </c>
      <c r="D112" t="s">
        <v>270</v>
      </c>
      <c r="E112" t="s">
        <v>230</v>
      </c>
      <c r="F112" t="s">
        <v>240</v>
      </c>
      <c r="G112" t="s">
        <v>275</v>
      </c>
      <c r="H112">
        <v>2.6651754E-2</v>
      </c>
      <c r="I112">
        <v>7.9993100000000004E-4</v>
      </c>
      <c r="J112">
        <f t="shared" si="2"/>
        <v>1.0612078838024006</v>
      </c>
      <c r="K112">
        <f t="shared" si="3"/>
        <v>0.7277836154929509</v>
      </c>
      <c r="L112">
        <v>57</v>
      </c>
      <c r="M112" t="s">
        <v>154</v>
      </c>
      <c r="N112">
        <v>1.3860000000000001E-2</v>
      </c>
      <c r="O112">
        <v>1.1560000000000001E-2</v>
      </c>
      <c r="P112">
        <v>9.325E-2</v>
      </c>
      <c r="Q112">
        <v>6.5799999999999999E-3</v>
      </c>
      <c r="R112">
        <v>8.5930000000000006E-2</v>
      </c>
      <c r="S112">
        <v>1.5570000000000001E-2</v>
      </c>
      <c r="T112">
        <v>8.3800000000000003E-3</v>
      </c>
      <c r="U112">
        <v>2.5000000000000001E-4</v>
      </c>
      <c r="V112">
        <v>1.052E-2</v>
      </c>
      <c r="W112">
        <v>3.6800000000000001E-3</v>
      </c>
      <c r="X112">
        <v>3.2550000000000003E-2</v>
      </c>
      <c r="Y112">
        <v>3.0949999999999998E-2</v>
      </c>
      <c r="Z112">
        <v>3.6990000000000002E-2</v>
      </c>
      <c r="AA112">
        <v>2.6890000000000001E-2</v>
      </c>
      <c r="AB112">
        <v>3.032E-2</v>
      </c>
      <c r="AC112">
        <v>1.4279999999999999E-2</v>
      </c>
      <c r="AD112">
        <v>3.5020000000000003E-2</v>
      </c>
      <c r="AE112">
        <v>3.4950000000000002E-2</v>
      </c>
      <c r="AI112">
        <v>1.899E-2</v>
      </c>
      <c r="AJ112">
        <v>5.8689999999999999E-2</v>
      </c>
      <c r="AL112">
        <v>2.4930000000000001E-2</v>
      </c>
      <c r="AM112">
        <v>1.4160000000000001E-2</v>
      </c>
      <c r="AN112">
        <v>5.5739999999999998E-2</v>
      </c>
      <c r="AO112">
        <v>1.7899999999999999E-3</v>
      </c>
      <c r="AP112">
        <v>2.99E-3</v>
      </c>
      <c r="AQ112">
        <v>2.2290000000000001E-2</v>
      </c>
      <c r="AR112">
        <v>1.5879999999999998E-2</v>
      </c>
      <c r="AS112">
        <v>8.4269999999999998E-2</v>
      </c>
      <c r="AT112">
        <v>5.6129999999999999E-2</v>
      </c>
      <c r="AU112">
        <v>2.0799999999999999E-2</v>
      </c>
      <c r="AV112">
        <v>2.5680000000000001E-2</v>
      </c>
      <c r="AW112">
        <v>2.1299999999999999E-2</v>
      </c>
      <c r="AX112">
        <v>9.6420000000000006E-2</v>
      </c>
      <c r="AY112">
        <v>7.5700000000000003E-3</v>
      </c>
      <c r="AZ112">
        <v>8.6800000000000002E-3</v>
      </c>
      <c r="BA112">
        <v>2.7980000000000001E-2</v>
      </c>
      <c r="BB112">
        <v>2.1170000000000001E-2</v>
      </c>
      <c r="BC112">
        <v>5.944E-2</v>
      </c>
      <c r="BD112">
        <v>3.3020000000000001E-2</v>
      </c>
      <c r="BG112">
        <v>1.6709999999999999E-2</v>
      </c>
      <c r="BJ112">
        <v>2.5610000000000001E-2</v>
      </c>
      <c r="BK112">
        <v>1.47E-3</v>
      </c>
      <c r="BL112">
        <v>3.3869999999999997E-2</v>
      </c>
      <c r="BM112">
        <v>2.3810000000000001E-2</v>
      </c>
      <c r="BN112">
        <v>0.14165</v>
      </c>
      <c r="BO112">
        <v>2.9139999999999999E-2</v>
      </c>
      <c r="BP112">
        <v>7.3999999999999999E-4</v>
      </c>
      <c r="BQ112">
        <v>4.4999999999999999E-4</v>
      </c>
      <c r="BR112">
        <v>2.7299999999999998E-3</v>
      </c>
      <c r="BS112">
        <v>1.511E-2</v>
      </c>
      <c r="BT112">
        <v>3.39E-2</v>
      </c>
      <c r="BU112">
        <v>1.0019999999999999E-2</v>
      </c>
      <c r="BV112">
        <v>6.1000000000000004E-3</v>
      </c>
      <c r="BW112">
        <v>7.2500000000000004E-3</v>
      </c>
      <c r="BX112">
        <v>7.9000000000000001E-4</v>
      </c>
      <c r="BY112">
        <v>1.7000000000000001E-4</v>
      </c>
      <c r="BZ112">
        <v>1.8000000000000001E-4</v>
      </c>
    </row>
    <row r="113" spans="1:113" x14ac:dyDescent="0.2">
      <c r="A113">
        <v>112</v>
      </c>
      <c r="B113" t="s">
        <v>268</v>
      </c>
      <c r="C113" t="s">
        <v>269</v>
      </c>
      <c r="D113" t="s">
        <v>270</v>
      </c>
      <c r="E113" t="s">
        <v>230</v>
      </c>
      <c r="F113" t="s">
        <v>240</v>
      </c>
      <c r="G113" t="s">
        <v>276</v>
      </c>
      <c r="H113">
        <v>7.3724560000000003E-3</v>
      </c>
      <c r="I113" s="1">
        <v>4.0235499999999998E-5</v>
      </c>
      <c r="J113">
        <f t="shared" si="2"/>
        <v>0.86038436949610597</v>
      </c>
      <c r="K113">
        <f t="shared" si="3"/>
        <v>0.65220674423140335</v>
      </c>
      <c r="L113">
        <v>57</v>
      </c>
      <c r="M113" t="s">
        <v>154</v>
      </c>
      <c r="N113">
        <v>2.4099999999999998E-3</v>
      </c>
      <c r="O113">
        <v>5.1000000000000004E-3</v>
      </c>
      <c r="P113">
        <v>9.1999999999999998E-3</v>
      </c>
      <c r="Q113">
        <v>2.1800000000000001E-3</v>
      </c>
      <c r="R113">
        <v>1.48E-3</v>
      </c>
      <c r="S113">
        <v>1.6000000000000001E-3</v>
      </c>
      <c r="T113">
        <v>1.917E-2</v>
      </c>
      <c r="U113">
        <v>4.8999999999999998E-4</v>
      </c>
      <c r="V113">
        <v>8.7000000000000001E-4</v>
      </c>
      <c r="W113">
        <v>1.1100000000000001E-3</v>
      </c>
      <c r="X113">
        <v>3.3300000000000001E-3</v>
      </c>
      <c r="Y113">
        <v>9.9100000000000004E-3</v>
      </c>
      <c r="Z113">
        <v>5.6800000000000002E-3</v>
      </c>
      <c r="AA113">
        <v>4.7800000000000004E-3</v>
      </c>
      <c r="AB113">
        <v>1.439E-2</v>
      </c>
      <c r="AC113">
        <v>5.8100000000000001E-3</v>
      </c>
      <c r="AD113">
        <v>1.213E-2</v>
      </c>
      <c r="AE113">
        <v>1.84E-2</v>
      </c>
      <c r="AI113">
        <v>1.124E-2</v>
      </c>
      <c r="AJ113">
        <v>6.5700000000000003E-3</v>
      </c>
      <c r="AL113">
        <v>1.065E-2</v>
      </c>
      <c r="AM113">
        <v>8.6999999999999994E-3</v>
      </c>
      <c r="AN113">
        <v>1.8550000000000001E-2</v>
      </c>
      <c r="AO113">
        <v>1.07E-3</v>
      </c>
      <c r="AP113">
        <v>3.7699999999999999E-3</v>
      </c>
      <c r="AQ113">
        <v>6.1900000000000002E-3</v>
      </c>
      <c r="AR113">
        <v>2.5999999999999999E-3</v>
      </c>
      <c r="AS113">
        <v>1.2370000000000001E-2</v>
      </c>
      <c r="AT113">
        <v>2.3429999999999999E-2</v>
      </c>
      <c r="AU113">
        <v>4.62E-3</v>
      </c>
      <c r="AV113">
        <v>1.023E-2</v>
      </c>
      <c r="AW113">
        <v>5.4000000000000003E-3</v>
      </c>
      <c r="AX113">
        <v>1.7409999999999998E-2</v>
      </c>
      <c r="AY113">
        <v>7.3499999999999998E-3</v>
      </c>
      <c r="AZ113">
        <v>1.7809999999999999E-2</v>
      </c>
      <c r="BA113">
        <v>1.7639999999999999E-2</v>
      </c>
      <c r="BB113">
        <v>9.4900000000000002E-3</v>
      </c>
      <c r="BC113">
        <v>7.5799999999999999E-3</v>
      </c>
      <c r="BD113">
        <v>5.0400000000000002E-3</v>
      </c>
      <c r="BG113">
        <v>7.62E-3</v>
      </c>
      <c r="BJ113">
        <v>1.821E-2</v>
      </c>
      <c r="BK113">
        <v>7.5000000000000002E-4</v>
      </c>
      <c r="BL113">
        <v>1.3950000000000001E-2</v>
      </c>
      <c r="BM113">
        <v>1.9189999999999999E-2</v>
      </c>
      <c r="BN113">
        <v>8.7000000000000001E-4</v>
      </c>
      <c r="BO113">
        <v>1.8500000000000001E-3</v>
      </c>
      <c r="BP113">
        <v>4.8000000000000001E-4</v>
      </c>
      <c r="BQ113">
        <v>1.9400000000000001E-3</v>
      </c>
      <c r="BR113">
        <v>5.3099999999999996E-3</v>
      </c>
      <c r="BS113">
        <v>2.3999999999999998E-3</v>
      </c>
      <c r="BT113">
        <v>1.2409999999999999E-2</v>
      </c>
      <c r="BU113">
        <v>5.1799999999999997E-3</v>
      </c>
      <c r="BV113">
        <v>1.8000000000000001E-4</v>
      </c>
      <c r="BW113">
        <v>6.8000000000000005E-4</v>
      </c>
      <c r="BX113">
        <v>3.0599999999999998E-3</v>
      </c>
      <c r="BY113">
        <v>1.7000000000000001E-4</v>
      </c>
      <c r="BZ113">
        <v>2.3000000000000001E-4</v>
      </c>
    </row>
    <row r="114" spans="1:113" x14ac:dyDescent="0.2">
      <c r="A114">
        <v>113</v>
      </c>
      <c r="B114" t="s">
        <v>268</v>
      </c>
      <c r="C114" t="s">
        <v>269</v>
      </c>
      <c r="D114" t="s">
        <v>270</v>
      </c>
      <c r="E114" t="s">
        <v>230</v>
      </c>
      <c r="F114" t="s">
        <v>240</v>
      </c>
      <c r="G114" t="s">
        <v>277</v>
      </c>
      <c r="H114">
        <v>8.2432140000000004E-3</v>
      </c>
      <c r="I114" s="1">
        <v>9.8493799999999995E-5</v>
      </c>
      <c r="J114">
        <f t="shared" si="2"/>
        <v>1.2039483949144982</v>
      </c>
      <c r="K114">
        <f t="shared" si="3"/>
        <v>0.76925421156351337</v>
      </c>
      <c r="L114">
        <v>28</v>
      </c>
      <c r="M114" t="s">
        <v>154</v>
      </c>
      <c r="N114">
        <v>1.9499999999999999E-3</v>
      </c>
      <c r="O114">
        <v>9.1199999999999996E-3</v>
      </c>
      <c r="P114">
        <v>7.4400000000000004E-3</v>
      </c>
      <c r="T114">
        <v>1.8100000000000002E-2</v>
      </c>
      <c r="Y114">
        <v>1.8000000000000001E-4</v>
      </c>
      <c r="Z114">
        <v>5.11E-3</v>
      </c>
      <c r="AA114">
        <v>2.5899999999999999E-3</v>
      </c>
      <c r="AB114">
        <v>4.7000000000000002E-3</v>
      </c>
      <c r="AI114">
        <v>1.142E-2</v>
      </c>
      <c r="AJ114">
        <v>1.503E-2</v>
      </c>
      <c r="AM114">
        <v>1.3089999999999999E-2</v>
      </c>
      <c r="AN114">
        <v>5.4000000000000003E-3</v>
      </c>
      <c r="AR114">
        <v>1.9000000000000001E-4</v>
      </c>
      <c r="AS114">
        <v>7.1000000000000002E-4</v>
      </c>
      <c r="AT114">
        <v>6.9300000000000004E-3</v>
      </c>
      <c r="AX114">
        <v>1.452E-2</v>
      </c>
      <c r="AY114">
        <v>1.7100000000000001E-2</v>
      </c>
      <c r="AZ114">
        <v>4.7059999999999998E-2</v>
      </c>
      <c r="BA114">
        <v>2.0000000000000001E-4</v>
      </c>
      <c r="BC114">
        <v>5.5399999999999998E-3</v>
      </c>
      <c r="BD114">
        <v>2.4559999999999998E-2</v>
      </c>
      <c r="BG114">
        <v>5.0499999999999998E-3</v>
      </c>
      <c r="BJ114">
        <v>2.9499999999999999E-3</v>
      </c>
      <c r="BK114">
        <v>1.7000000000000001E-4</v>
      </c>
      <c r="BL114">
        <v>1.8000000000000001E-4</v>
      </c>
      <c r="BM114">
        <v>3.4299999999999999E-3</v>
      </c>
      <c r="BT114">
        <v>3.3E-3</v>
      </c>
      <c r="BX114">
        <v>4.79E-3</v>
      </c>
    </row>
    <row r="115" spans="1:113" x14ac:dyDescent="0.2">
      <c r="A115">
        <v>114</v>
      </c>
      <c r="B115" t="s">
        <v>268</v>
      </c>
      <c r="C115" t="s">
        <v>269</v>
      </c>
      <c r="D115" t="s">
        <v>270</v>
      </c>
      <c r="E115" t="s">
        <v>230</v>
      </c>
      <c r="F115" t="s">
        <v>240</v>
      </c>
      <c r="G115" t="s">
        <v>278</v>
      </c>
      <c r="H115">
        <v>4.0750178999999997E-2</v>
      </c>
      <c r="I115">
        <v>1.7485702999999998E-2</v>
      </c>
      <c r="J115">
        <f t="shared" si="2"/>
        <v>3.244980026498113</v>
      </c>
      <c r="K115">
        <f t="shared" si="3"/>
        <v>0.95565105771165515</v>
      </c>
      <c r="L115">
        <v>56</v>
      </c>
      <c r="M115" t="s">
        <v>154</v>
      </c>
      <c r="N115">
        <v>3.1900000000000001E-3</v>
      </c>
      <c r="O115">
        <v>5.9999999999999995E-4</v>
      </c>
      <c r="P115">
        <v>4.2000000000000002E-4</v>
      </c>
      <c r="Q115">
        <v>1.282E-2</v>
      </c>
      <c r="R115">
        <v>0.52514000000000005</v>
      </c>
      <c r="S115">
        <v>1.196E-2</v>
      </c>
      <c r="T115">
        <v>3.8999999999999999E-4</v>
      </c>
      <c r="U115">
        <v>4.4299999999999999E-3</v>
      </c>
      <c r="V115">
        <v>0.14580000000000001</v>
      </c>
      <c r="W115">
        <v>6.7750000000000005E-2</v>
      </c>
      <c r="X115">
        <v>1.7000000000000001E-4</v>
      </c>
      <c r="Y115">
        <v>1.8000000000000001E-4</v>
      </c>
      <c r="Z115">
        <v>2.7399999999999998E-3</v>
      </c>
      <c r="AA115">
        <v>5.8E-4</v>
      </c>
      <c r="AB115">
        <v>3.8300000000000001E-3</v>
      </c>
      <c r="AC115">
        <v>8.8999999999999995E-4</v>
      </c>
      <c r="AD115">
        <v>3.0689999999999999E-2</v>
      </c>
      <c r="AE115">
        <v>3.6600000000000001E-3</v>
      </c>
      <c r="AI115">
        <v>2.3800000000000002E-3</v>
      </c>
      <c r="AJ115">
        <v>1.0300000000000001E-3</v>
      </c>
      <c r="AL115">
        <v>4.2900000000000004E-3</v>
      </c>
      <c r="AM115">
        <v>1.8400000000000001E-3</v>
      </c>
      <c r="AN115">
        <v>2.9399999999999999E-3</v>
      </c>
      <c r="AO115">
        <v>1.64E-3</v>
      </c>
      <c r="AP115">
        <v>0.47686000000000001</v>
      </c>
      <c r="AQ115">
        <v>6.8140000000000006E-2</v>
      </c>
      <c r="AR115">
        <v>1.34E-3</v>
      </c>
      <c r="AS115">
        <v>7.1000000000000002E-4</v>
      </c>
      <c r="AT115">
        <v>7.7999999999999999E-4</v>
      </c>
      <c r="AU115">
        <v>4.7849999999999997E-2</v>
      </c>
      <c r="AV115">
        <v>0.71767999999999998</v>
      </c>
      <c r="AW115">
        <v>3.1789999999999999E-2</v>
      </c>
      <c r="AX115">
        <v>2.6800000000000001E-3</v>
      </c>
      <c r="AY115">
        <v>1.4E-3</v>
      </c>
      <c r="AZ115">
        <v>1.2199999999999999E-3</v>
      </c>
      <c r="BA115">
        <v>8.0999999999999996E-3</v>
      </c>
      <c r="BB115">
        <v>8.6300000000000005E-3</v>
      </c>
      <c r="BC115">
        <v>7.7999999999999999E-4</v>
      </c>
      <c r="BD115">
        <v>1.99E-3</v>
      </c>
      <c r="BG115">
        <v>1.01E-3</v>
      </c>
      <c r="BJ115">
        <v>1.2800000000000001E-2</v>
      </c>
      <c r="BK115">
        <v>2.7399999999999998E-3</v>
      </c>
      <c r="BL115">
        <v>1.291E-2</v>
      </c>
      <c r="BM115">
        <v>1.8400000000000001E-3</v>
      </c>
      <c r="BN115">
        <v>2.4850000000000001E-2</v>
      </c>
      <c r="BO115">
        <v>1.354E-2</v>
      </c>
      <c r="BP115">
        <v>4.4999999999999999E-4</v>
      </c>
      <c r="BQ115">
        <v>4.4999999999999999E-4</v>
      </c>
      <c r="BR115">
        <v>2.7299999999999998E-3</v>
      </c>
      <c r="BS115">
        <v>2.9099999999999998E-3</v>
      </c>
      <c r="BT115">
        <v>1E-3</v>
      </c>
      <c r="BU115">
        <v>1.41E-3</v>
      </c>
      <c r="BV115">
        <v>1.5399999999999999E-3</v>
      </c>
      <c r="BW115">
        <v>1.74E-3</v>
      </c>
      <c r="BX115">
        <v>5.9999999999999995E-4</v>
      </c>
      <c r="BZ115">
        <v>1.8000000000000001E-4</v>
      </c>
    </row>
    <row r="116" spans="1:113" x14ac:dyDescent="0.2">
      <c r="A116">
        <v>115</v>
      </c>
      <c r="B116" t="s">
        <v>268</v>
      </c>
      <c r="C116" t="s">
        <v>269</v>
      </c>
      <c r="D116" t="s">
        <v>270</v>
      </c>
      <c r="E116" t="s">
        <v>230</v>
      </c>
      <c r="F116" t="s">
        <v>240</v>
      </c>
      <c r="G116" t="s">
        <v>279</v>
      </c>
      <c r="H116">
        <v>1.3183333E-2</v>
      </c>
      <c r="I116">
        <v>6.2685300000000002E-4</v>
      </c>
      <c r="J116">
        <f t="shared" si="2"/>
        <v>1.8991428473947034</v>
      </c>
      <c r="K116">
        <f t="shared" si="3"/>
        <v>0.88483157869228546</v>
      </c>
      <c r="L116">
        <v>54</v>
      </c>
      <c r="M116" t="s">
        <v>154</v>
      </c>
      <c r="N116">
        <v>1.2869999999999999E-2</v>
      </c>
      <c r="O116">
        <v>1.529E-2</v>
      </c>
      <c r="P116">
        <v>1.6100000000000001E-3</v>
      </c>
      <c r="Q116">
        <v>5.4599999999999996E-3</v>
      </c>
      <c r="R116">
        <v>5.9150000000000001E-2</v>
      </c>
      <c r="S116">
        <v>8.8500000000000002E-3</v>
      </c>
      <c r="T116">
        <v>5.2999999999999998E-4</v>
      </c>
      <c r="U116">
        <v>3.2599999999999999E-3</v>
      </c>
      <c r="V116">
        <v>3.6000000000000002E-4</v>
      </c>
      <c r="W116">
        <v>2.5000000000000001E-4</v>
      </c>
      <c r="X116">
        <v>1.7000000000000001E-4</v>
      </c>
      <c r="Y116">
        <v>3.4000000000000002E-4</v>
      </c>
      <c r="Z116">
        <v>3.6000000000000002E-4</v>
      </c>
      <c r="AA116">
        <v>1.1900000000000001E-3</v>
      </c>
      <c r="AB116">
        <v>1.2999999999999999E-4</v>
      </c>
      <c r="AC116">
        <v>2.7480000000000001E-2</v>
      </c>
      <c r="AD116">
        <v>8.8199999999999997E-3</v>
      </c>
      <c r="AE116">
        <v>1.349E-2</v>
      </c>
      <c r="AI116">
        <v>1.2E-4</v>
      </c>
      <c r="AL116">
        <v>0.10001</v>
      </c>
      <c r="AM116">
        <v>1.2800000000000001E-3</v>
      </c>
      <c r="AN116">
        <v>5.2999999999999998E-4</v>
      </c>
      <c r="AO116">
        <v>5.4000000000000001E-4</v>
      </c>
      <c r="AP116">
        <v>1.14E-3</v>
      </c>
      <c r="AQ116">
        <v>4.9500000000000004E-3</v>
      </c>
      <c r="AR116">
        <v>7.1000000000000002E-4</v>
      </c>
      <c r="AS116">
        <v>7.6999999999999996E-4</v>
      </c>
      <c r="AT116">
        <v>1.2700000000000001E-3</v>
      </c>
      <c r="AU116">
        <v>1.8700000000000001E-2</v>
      </c>
      <c r="AV116">
        <v>4.197E-2</v>
      </c>
      <c r="AW116">
        <v>9.2200000000000008E-3</v>
      </c>
      <c r="AY116">
        <v>1.2E-4</v>
      </c>
      <c r="AZ116">
        <v>9.6000000000000002E-4</v>
      </c>
      <c r="BA116">
        <v>0.14183999999999999</v>
      </c>
      <c r="BB116">
        <v>1.1270000000000001E-2</v>
      </c>
      <c r="BC116">
        <v>2.111E-2</v>
      </c>
      <c r="BH116">
        <v>5.7999999999999996E-3</v>
      </c>
      <c r="BI116">
        <v>1.2199999999999999E-3</v>
      </c>
      <c r="BJ116">
        <v>2.7619999999999999E-2</v>
      </c>
      <c r="BK116">
        <v>2.1090000000000001E-2</v>
      </c>
      <c r="BL116">
        <v>6.4700000000000001E-3</v>
      </c>
      <c r="BM116">
        <v>3.0699999999999998E-3</v>
      </c>
      <c r="BN116">
        <v>3.4079999999999999E-2</v>
      </c>
      <c r="BO116">
        <v>1.0359999999999999E-2</v>
      </c>
      <c r="BP116">
        <v>4.8000000000000001E-4</v>
      </c>
      <c r="BQ116">
        <v>4.8000000000000001E-4</v>
      </c>
      <c r="BR116">
        <v>1.06E-3</v>
      </c>
      <c r="BS116">
        <v>1.951E-2</v>
      </c>
      <c r="BT116">
        <v>4.81E-3</v>
      </c>
      <c r="BU116">
        <v>8.5999999999999998E-4</v>
      </c>
      <c r="BV116">
        <v>3.8649999999999997E-2</v>
      </c>
      <c r="BW116">
        <v>4.62E-3</v>
      </c>
      <c r="BX116">
        <v>3.0599999999999998E-3</v>
      </c>
      <c r="BZ116">
        <v>1.2540000000000001E-2</v>
      </c>
    </row>
    <row r="117" spans="1:113" x14ac:dyDescent="0.2">
      <c r="A117">
        <v>116</v>
      </c>
      <c r="B117" t="s">
        <v>268</v>
      </c>
      <c r="C117" t="s">
        <v>269</v>
      </c>
      <c r="D117" t="s">
        <v>270</v>
      </c>
      <c r="E117" t="s">
        <v>230</v>
      </c>
      <c r="F117" t="s">
        <v>240</v>
      </c>
      <c r="G117" t="s">
        <v>280</v>
      </c>
      <c r="H117">
        <v>1.3854561E-2</v>
      </c>
      <c r="I117">
        <v>4.9941000000000004E-4</v>
      </c>
      <c r="J117">
        <f t="shared" si="2"/>
        <v>1.6130054990379292</v>
      </c>
      <c r="K117">
        <f t="shared" si="3"/>
        <v>0.84991765457965618</v>
      </c>
      <c r="L117">
        <v>57</v>
      </c>
      <c r="M117" t="s">
        <v>154</v>
      </c>
      <c r="N117">
        <v>2.81E-3</v>
      </c>
      <c r="O117">
        <v>3.8700000000000002E-3</v>
      </c>
      <c r="P117">
        <v>2.0699999999999998E-3</v>
      </c>
      <c r="Q117">
        <v>1.99E-3</v>
      </c>
      <c r="R117">
        <v>6.3400000000000001E-3</v>
      </c>
      <c r="S117">
        <v>2.0029999999999999E-2</v>
      </c>
      <c r="T117">
        <v>5.2999999999999998E-4</v>
      </c>
      <c r="U117">
        <v>1.58E-3</v>
      </c>
      <c r="V117">
        <v>7.2899999999999996E-3</v>
      </c>
      <c r="W117">
        <v>2.955E-2</v>
      </c>
      <c r="X117">
        <v>2.6630000000000001E-2</v>
      </c>
      <c r="Y117">
        <v>1.205E-2</v>
      </c>
      <c r="Z117">
        <v>3.79E-3</v>
      </c>
      <c r="AA117">
        <v>3.82E-3</v>
      </c>
      <c r="AB117">
        <v>1.439E-2</v>
      </c>
      <c r="AC117">
        <v>6.9750000000000006E-2</v>
      </c>
      <c r="AD117">
        <v>1.5440000000000001E-2</v>
      </c>
      <c r="AE117">
        <v>1.4959999999999999E-2</v>
      </c>
      <c r="AI117">
        <v>1.89E-3</v>
      </c>
      <c r="AJ117">
        <v>1.1900000000000001E-3</v>
      </c>
      <c r="AL117">
        <v>6.6280000000000006E-2</v>
      </c>
      <c r="AM117">
        <v>2.5600000000000002E-3</v>
      </c>
      <c r="AN117">
        <v>3.5799999999999998E-3</v>
      </c>
      <c r="AO117">
        <v>2.15E-3</v>
      </c>
      <c r="AP117">
        <v>6.6299999999999996E-3</v>
      </c>
      <c r="AQ117">
        <v>2.7459999999999998E-2</v>
      </c>
      <c r="AR117">
        <v>2.367E-2</v>
      </c>
      <c r="AS117">
        <v>2.4740000000000002E-2</v>
      </c>
      <c r="AT117">
        <v>9.8799999999999999E-3</v>
      </c>
      <c r="AU117">
        <v>1.32E-3</v>
      </c>
      <c r="AV117">
        <v>1.265E-2</v>
      </c>
      <c r="AW117">
        <v>5.8000000000000003E-2</v>
      </c>
      <c r="AX117">
        <v>5.5700000000000003E-3</v>
      </c>
      <c r="AY117">
        <v>1.8400000000000001E-3</v>
      </c>
      <c r="AZ117">
        <v>1.92E-3</v>
      </c>
      <c r="BA117">
        <v>2.0969999999999999E-2</v>
      </c>
      <c r="BB117">
        <v>4.2700000000000004E-3</v>
      </c>
      <c r="BC117">
        <v>8.8500000000000002E-3</v>
      </c>
      <c r="BD117">
        <v>7.6000000000000004E-4</v>
      </c>
      <c r="BG117">
        <v>1.0499999999999999E-3</v>
      </c>
      <c r="BJ117">
        <v>4.6460000000000001E-2</v>
      </c>
      <c r="BK117">
        <v>1.92E-3</v>
      </c>
      <c r="BL117">
        <v>2.232E-2</v>
      </c>
      <c r="BM117">
        <v>0.13047</v>
      </c>
      <c r="BN117">
        <v>7.6000000000000004E-4</v>
      </c>
      <c r="BO117">
        <v>4.5599999999999998E-3</v>
      </c>
      <c r="BP117">
        <v>2.8999999999999998E-3</v>
      </c>
      <c r="BQ117">
        <v>1.6999999999999999E-3</v>
      </c>
      <c r="BR117">
        <v>6.8999999999999999E-3</v>
      </c>
      <c r="BS117">
        <v>1.2789999999999999E-2</v>
      </c>
      <c r="BT117">
        <v>7.7499999999999999E-3</v>
      </c>
      <c r="BU117">
        <v>2.2450000000000001E-2</v>
      </c>
      <c r="BV117">
        <v>5.9999999999999995E-4</v>
      </c>
      <c r="BW117">
        <v>1.24E-3</v>
      </c>
      <c r="BX117">
        <v>1.99E-3</v>
      </c>
      <c r="BY117">
        <v>4.4000000000000002E-4</v>
      </c>
      <c r="BZ117">
        <v>3.4000000000000002E-4</v>
      </c>
    </row>
    <row r="118" spans="1:113" x14ac:dyDescent="0.2">
      <c r="A118">
        <v>117</v>
      </c>
      <c r="B118" t="s">
        <v>281</v>
      </c>
      <c r="C118" t="s">
        <v>282</v>
      </c>
      <c r="D118" t="s">
        <v>283</v>
      </c>
      <c r="E118" t="s">
        <v>230</v>
      </c>
      <c r="F118" t="s">
        <v>231</v>
      </c>
      <c r="G118" t="s">
        <v>284</v>
      </c>
      <c r="H118">
        <v>12.57871759</v>
      </c>
      <c r="I118">
        <v>171.66415050000001</v>
      </c>
      <c r="J118">
        <f t="shared" si="2"/>
        <v>1.0416059154055803</v>
      </c>
      <c r="K118">
        <f t="shared" si="3"/>
        <v>0.72136714227986298</v>
      </c>
      <c r="L118">
        <v>100</v>
      </c>
      <c r="M118" t="s">
        <v>154</v>
      </c>
      <c r="N118">
        <v>13.4761153</v>
      </c>
      <c r="O118">
        <v>3.0175014999999998</v>
      </c>
      <c r="P118">
        <v>3.6395485999999999</v>
      </c>
      <c r="Q118">
        <v>16.563436200000002</v>
      </c>
      <c r="R118">
        <v>8.3584013000000006</v>
      </c>
      <c r="S118">
        <v>6.3487128999999998</v>
      </c>
      <c r="T118">
        <v>28.422350000000002</v>
      </c>
      <c r="U118">
        <v>19.897880000000001</v>
      </c>
      <c r="V118">
        <v>15.0190944</v>
      </c>
      <c r="W118">
        <v>5.8010396000000002</v>
      </c>
      <c r="X118">
        <v>8.2982761000000007</v>
      </c>
      <c r="Y118">
        <v>1.1988030999999999</v>
      </c>
      <c r="Z118">
        <v>9.8396273000000001</v>
      </c>
      <c r="AA118">
        <v>10.8630751</v>
      </c>
      <c r="AB118">
        <v>11.0781043</v>
      </c>
      <c r="AC118">
        <v>7.64735E-2</v>
      </c>
      <c r="AD118">
        <v>13.5825189</v>
      </c>
      <c r="AE118">
        <v>4.1295951999999998</v>
      </c>
      <c r="AF118">
        <v>9.3845690000000008</v>
      </c>
      <c r="AG118">
        <v>23.081988899999999</v>
      </c>
      <c r="AH118">
        <v>26.408331400000002</v>
      </c>
      <c r="AI118">
        <v>26.3363133</v>
      </c>
      <c r="AJ118">
        <v>16.577716899999999</v>
      </c>
      <c r="AK118">
        <v>9.9769511000000008</v>
      </c>
      <c r="AL118">
        <v>2.5001223000000001</v>
      </c>
      <c r="AM118">
        <v>14.6416919</v>
      </c>
      <c r="AN118">
        <v>2.8505242000000002</v>
      </c>
      <c r="AO118">
        <v>20.040850299999999</v>
      </c>
      <c r="AP118">
        <v>31.2820967</v>
      </c>
      <c r="AQ118">
        <v>28.2148748</v>
      </c>
      <c r="AR118">
        <v>37.483998300000003</v>
      </c>
      <c r="AS118">
        <v>32.351191</v>
      </c>
      <c r="AT118">
        <v>0.17427200000000001</v>
      </c>
      <c r="AU118">
        <v>23.8172918</v>
      </c>
      <c r="AV118">
        <v>17.302053000000001</v>
      </c>
      <c r="AW118">
        <v>17.6142778</v>
      </c>
      <c r="AX118">
        <v>1.409537</v>
      </c>
      <c r="AY118">
        <v>63.590125200000003</v>
      </c>
      <c r="AZ118">
        <v>58.639708800000001</v>
      </c>
      <c r="BA118">
        <v>22.622219000000001</v>
      </c>
      <c r="BB118">
        <v>5.7156785000000001</v>
      </c>
      <c r="BC118">
        <v>0.26172679999999998</v>
      </c>
      <c r="BD118">
        <v>9.7363540999999998</v>
      </c>
      <c r="BE118">
        <v>38.596680300000003</v>
      </c>
      <c r="BF118">
        <v>5.6340186000000001</v>
      </c>
      <c r="BG118">
        <v>12.6932382</v>
      </c>
      <c r="BH118">
        <v>3.2350612000000001</v>
      </c>
      <c r="BI118">
        <v>2.3717733999999999</v>
      </c>
      <c r="BJ118">
        <v>4.2826674000000002</v>
      </c>
      <c r="BK118">
        <v>0.44132500000000002</v>
      </c>
      <c r="BL118">
        <v>42.143759500000002</v>
      </c>
      <c r="BM118">
        <v>0.14596390000000001</v>
      </c>
      <c r="BN118">
        <v>5.7206638999999999</v>
      </c>
      <c r="BO118">
        <v>9.4700612</v>
      </c>
      <c r="BP118">
        <v>17.2132644</v>
      </c>
      <c r="BQ118">
        <v>33.3172335</v>
      </c>
      <c r="BR118">
        <v>15.137722800000001</v>
      </c>
      <c r="BS118">
        <v>5.0529964999999999</v>
      </c>
      <c r="BT118">
        <v>7.6876441</v>
      </c>
      <c r="BU118">
        <v>0.40705590000000003</v>
      </c>
      <c r="BV118">
        <v>25.884044800000002</v>
      </c>
      <c r="BW118">
        <v>7.3660832999999997</v>
      </c>
      <c r="BX118">
        <v>11.672431599999999</v>
      </c>
      <c r="BY118">
        <v>1.6367472000000001</v>
      </c>
      <c r="BZ118">
        <v>6.0150844000000001</v>
      </c>
      <c r="CA118">
        <v>1.9520325999999999</v>
      </c>
      <c r="CB118">
        <v>2.0161706000000001</v>
      </c>
      <c r="CC118">
        <v>7.7309299999999997E-2</v>
      </c>
      <c r="CD118">
        <v>1.3358357999999999</v>
      </c>
      <c r="CE118">
        <v>6.1180868000000004</v>
      </c>
      <c r="CF118">
        <v>33.973552699999999</v>
      </c>
      <c r="CG118">
        <v>21.606578299999999</v>
      </c>
      <c r="CH118">
        <v>1.9294990999999999</v>
      </c>
      <c r="CI118">
        <v>0.23007569999999999</v>
      </c>
      <c r="CJ118">
        <v>0.82559110000000002</v>
      </c>
      <c r="CK118">
        <v>0.54036399999999996</v>
      </c>
      <c r="CL118">
        <v>10.8662697</v>
      </c>
      <c r="CM118">
        <v>0.23515430000000001</v>
      </c>
      <c r="CN118">
        <v>9.4542369999999991</v>
      </c>
      <c r="CO118">
        <v>10.755873599999999</v>
      </c>
      <c r="CP118">
        <v>5.2558096000000001</v>
      </c>
      <c r="CQ118">
        <v>0.6824694</v>
      </c>
      <c r="CR118">
        <v>15.9871578</v>
      </c>
      <c r="CS118">
        <v>12.2485964</v>
      </c>
      <c r="CT118">
        <v>0.362848</v>
      </c>
      <c r="CU118">
        <v>1.4037972999999999</v>
      </c>
      <c r="CV118">
        <v>0.2405679</v>
      </c>
      <c r="CW118">
        <v>1.2066220000000001</v>
      </c>
      <c r="CX118">
        <v>2.0823646</v>
      </c>
      <c r="CY118">
        <v>5.8323821000000002</v>
      </c>
      <c r="CZ118">
        <v>4.7163075000000001</v>
      </c>
      <c r="DA118">
        <v>2.2637100000000001</v>
      </c>
      <c r="DB118">
        <v>20.758066400000001</v>
      </c>
      <c r="DC118">
        <v>22.1098952</v>
      </c>
      <c r="DD118">
        <v>9.4519976999999997</v>
      </c>
      <c r="DE118">
        <v>8.1144903999999993</v>
      </c>
      <c r="DF118">
        <v>24.073442</v>
      </c>
      <c r="DG118">
        <v>48.346581200000003</v>
      </c>
      <c r="DH118">
        <v>29.5688119</v>
      </c>
      <c r="DI118">
        <v>3.4986720999999998</v>
      </c>
    </row>
    <row r="119" spans="1:113" x14ac:dyDescent="0.2">
      <c r="A119">
        <v>118</v>
      </c>
      <c r="B119" t="s">
        <v>281</v>
      </c>
      <c r="C119" t="s">
        <v>285</v>
      </c>
      <c r="D119" t="s">
        <v>283</v>
      </c>
      <c r="E119" t="s">
        <v>230</v>
      </c>
      <c r="F119" t="s">
        <v>231</v>
      </c>
      <c r="G119" t="s">
        <v>284</v>
      </c>
      <c r="H119">
        <v>8.0651820339999993</v>
      </c>
      <c r="I119">
        <v>58.242544209999998</v>
      </c>
      <c r="J119">
        <f t="shared" si="2"/>
        <v>0.94625022329197328</v>
      </c>
      <c r="K119">
        <f t="shared" si="3"/>
        <v>0.68731648672411194</v>
      </c>
      <c r="L119">
        <v>53</v>
      </c>
      <c r="M119" t="s">
        <v>154</v>
      </c>
      <c r="N119">
        <v>15.518345999999999</v>
      </c>
      <c r="O119">
        <v>4.0294262999999999</v>
      </c>
      <c r="P119">
        <v>2.9791409</v>
      </c>
      <c r="R119">
        <v>1.4891350999999999</v>
      </c>
      <c r="S119">
        <v>0.6183052</v>
      </c>
      <c r="T119">
        <v>18.34553</v>
      </c>
      <c r="U119">
        <v>8.6365317000000008</v>
      </c>
      <c r="V119">
        <v>9.4291526000000001</v>
      </c>
      <c r="W119">
        <v>27.772251000000001</v>
      </c>
      <c r="X119">
        <v>5.2847467000000004</v>
      </c>
      <c r="Y119">
        <v>3.8755066999999999</v>
      </c>
      <c r="Z119">
        <v>0.252749</v>
      </c>
      <c r="AA119">
        <v>1.4645573999999999</v>
      </c>
      <c r="AB119">
        <v>4.1516248999999998</v>
      </c>
      <c r="AC119">
        <v>13.6733227</v>
      </c>
      <c r="AD119">
        <v>1.2937244999999999</v>
      </c>
      <c r="AE119">
        <v>8.3079412000000001</v>
      </c>
      <c r="AF119">
        <v>0.30440590000000001</v>
      </c>
      <c r="AG119">
        <v>6.5308881999999997</v>
      </c>
      <c r="AH119">
        <v>16.157987800000001</v>
      </c>
      <c r="AI119">
        <v>8.0827460999999996</v>
      </c>
      <c r="AJ119">
        <v>22.921616199999999</v>
      </c>
      <c r="AK119">
        <v>2.4476149999999999</v>
      </c>
      <c r="AL119">
        <v>38.6274461</v>
      </c>
      <c r="AN119">
        <v>5.5071985999999997</v>
      </c>
      <c r="AO119">
        <v>20.3847816</v>
      </c>
      <c r="AP119">
        <v>3.9700261999999999</v>
      </c>
      <c r="AQ119">
        <v>3.5018608000000002</v>
      </c>
      <c r="AR119">
        <v>10.6834857</v>
      </c>
      <c r="AS119">
        <v>9.4692895000000004</v>
      </c>
      <c r="AT119">
        <v>13.3233227</v>
      </c>
      <c r="AU119">
        <v>16.425797899999999</v>
      </c>
      <c r="AV119">
        <v>8.2611735999999993</v>
      </c>
      <c r="AW119">
        <v>8.4094175999999994</v>
      </c>
      <c r="AX119">
        <v>7.7136342000000004</v>
      </c>
      <c r="AY119">
        <v>4.8618695000000001</v>
      </c>
      <c r="AZ119">
        <v>17.492987800000002</v>
      </c>
      <c r="BA119">
        <v>3.0441497000000002</v>
      </c>
      <c r="BB119">
        <v>12.716557999999999</v>
      </c>
      <c r="BC119">
        <v>2.6305154000000002</v>
      </c>
      <c r="BD119">
        <v>7.3745951999999999</v>
      </c>
      <c r="BE119">
        <v>3.3811502999999998</v>
      </c>
      <c r="BF119">
        <v>7.6996738000000002</v>
      </c>
      <c r="BG119">
        <v>6.4988643000000001</v>
      </c>
      <c r="BH119">
        <v>1.8258649</v>
      </c>
      <c r="BI119">
        <v>1.2482761</v>
      </c>
      <c r="BJ119">
        <v>9.8989895000000008</v>
      </c>
      <c r="BK119">
        <v>4.4664967999999998</v>
      </c>
      <c r="BL119">
        <v>9.7924548999999992</v>
      </c>
      <c r="BM119">
        <v>1.6066743999999999</v>
      </c>
      <c r="BN119">
        <v>1.3516045000000001</v>
      </c>
      <c r="BO119">
        <v>1.3999417999999999</v>
      </c>
      <c r="BQ119">
        <v>0.3192953</v>
      </c>
    </row>
    <row r="120" spans="1:113" x14ac:dyDescent="0.2">
      <c r="A120">
        <v>119</v>
      </c>
      <c r="B120" t="s">
        <v>286</v>
      </c>
      <c r="C120" t="s">
        <v>282</v>
      </c>
      <c r="D120" t="s">
        <v>283</v>
      </c>
      <c r="E120" t="s">
        <v>230</v>
      </c>
      <c r="F120" t="s">
        <v>231</v>
      </c>
      <c r="G120" t="s">
        <v>284</v>
      </c>
      <c r="H120">
        <v>14.48878049</v>
      </c>
      <c r="I120">
        <v>444.11657450000001</v>
      </c>
      <c r="J120">
        <f t="shared" si="2"/>
        <v>1.454509820835121</v>
      </c>
      <c r="K120">
        <f t="shared" si="3"/>
        <v>0.82403544475280477</v>
      </c>
      <c r="L120">
        <v>73</v>
      </c>
      <c r="M120" t="s">
        <v>154</v>
      </c>
      <c r="N120">
        <v>2.3959901000000001</v>
      </c>
      <c r="O120">
        <v>4.6458881999999999</v>
      </c>
      <c r="R120">
        <v>11.122766499999999</v>
      </c>
      <c r="S120">
        <v>7.2031042999999997</v>
      </c>
      <c r="T120">
        <v>3.7207135</v>
      </c>
      <c r="U120">
        <v>7.9116248999999996</v>
      </c>
      <c r="V120">
        <v>0.65599879999999999</v>
      </c>
      <c r="W120">
        <v>5.2204804999999999</v>
      </c>
      <c r="X120">
        <v>0.43479620000000002</v>
      </c>
      <c r="Y120">
        <v>2.2622073</v>
      </c>
      <c r="Z120">
        <v>0.84948749999999995</v>
      </c>
      <c r="AA120">
        <v>1.3842544999999999</v>
      </c>
      <c r="AB120">
        <v>13.506648200000001</v>
      </c>
      <c r="AC120">
        <v>6.6363512</v>
      </c>
      <c r="AD120">
        <v>1.9909114999999999</v>
      </c>
      <c r="AE120">
        <v>1.6108678000000001</v>
      </c>
      <c r="AF120">
        <v>0.25316539999999998</v>
      </c>
      <c r="AG120">
        <v>5.1148164999999999</v>
      </c>
      <c r="AH120">
        <v>2.2443069000000002</v>
      </c>
      <c r="AI120">
        <v>11.2429557</v>
      </c>
      <c r="AJ120">
        <v>3.4749591999999998</v>
      </c>
      <c r="AK120">
        <v>0.16882939999999999</v>
      </c>
      <c r="AL120">
        <v>18.3304106</v>
      </c>
      <c r="AM120">
        <v>4.8945457000000001</v>
      </c>
      <c r="AN120">
        <v>10.8410367</v>
      </c>
      <c r="AO120">
        <v>3.6992661999999998</v>
      </c>
      <c r="AP120">
        <v>5.2588352</v>
      </c>
      <c r="AQ120">
        <v>1.5461590000000001</v>
      </c>
      <c r="AR120">
        <v>4.6055910999999998</v>
      </c>
      <c r="AS120">
        <v>25.906546299999999</v>
      </c>
      <c r="AT120">
        <v>96.283433299999999</v>
      </c>
      <c r="AU120">
        <v>18.874359299999998</v>
      </c>
      <c r="AV120">
        <v>29.887955699999999</v>
      </c>
      <c r="AW120">
        <v>23.101403600000001</v>
      </c>
      <c r="AX120">
        <v>19.359120600000001</v>
      </c>
      <c r="AY120">
        <v>20.624659300000001</v>
      </c>
      <c r="AZ120">
        <v>15.6372947</v>
      </c>
      <c r="BA120">
        <v>18.820398999999998</v>
      </c>
      <c r="BB120">
        <v>1.782184</v>
      </c>
      <c r="BC120">
        <v>30.858188699999999</v>
      </c>
      <c r="BD120">
        <v>2.2682266000000002</v>
      </c>
      <c r="BE120">
        <v>16.529542800000002</v>
      </c>
      <c r="BF120">
        <v>16.227606300000001</v>
      </c>
      <c r="BG120">
        <v>9.5125597000000006</v>
      </c>
      <c r="BH120">
        <v>14.024615600000001</v>
      </c>
      <c r="BI120">
        <v>30.323739100000001</v>
      </c>
      <c r="BJ120">
        <v>79.736886999999996</v>
      </c>
      <c r="BK120">
        <v>9.9764880999999992</v>
      </c>
      <c r="BL120">
        <v>127.8968229</v>
      </c>
      <c r="BM120">
        <v>8.4536779000000006</v>
      </c>
      <c r="BN120">
        <v>5.1448486000000004</v>
      </c>
      <c r="BO120">
        <v>17.2627402</v>
      </c>
      <c r="BP120">
        <v>31.8444991</v>
      </c>
      <c r="BQ120">
        <v>20.780218399999999</v>
      </c>
      <c r="BR120">
        <v>33.476258000000001</v>
      </c>
      <c r="BS120">
        <v>28.736563799999999</v>
      </c>
      <c r="BT120">
        <v>18.253666299999999</v>
      </c>
      <c r="BU120">
        <v>7.8116307999999997</v>
      </c>
      <c r="BV120">
        <v>6.8491030999999998</v>
      </c>
      <c r="BW120">
        <v>8.2923121999999996</v>
      </c>
      <c r="BX120">
        <v>4.2714676999999996</v>
      </c>
      <c r="BY120">
        <v>0.66589109999999996</v>
      </c>
      <c r="BZ120">
        <v>15.7986372</v>
      </c>
      <c r="CA120">
        <v>8.8552970000000002</v>
      </c>
      <c r="CB120">
        <v>3.2816481999999998</v>
      </c>
      <c r="CC120">
        <v>11.8834158</v>
      </c>
      <c r="CD120">
        <v>48.838144999999997</v>
      </c>
      <c r="CE120">
        <v>5.7640798000000002</v>
      </c>
      <c r="CF120">
        <v>3.1831478999999998</v>
      </c>
      <c r="CG120">
        <v>12.100993000000001</v>
      </c>
      <c r="CH120">
        <v>5.1188585</v>
      </c>
      <c r="CI120">
        <v>8.0471799999999996E-2</v>
      </c>
      <c r="CJ120">
        <v>7.4402999999999997E-2</v>
      </c>
    </row>
    <row r="121" spans="1:113" x14ac:dyDescent="0.2">
      <c r="A121">
        <v>120</v>
      </c>
      <c r="B121" t="s">
        <v>286</v>
      </c>
      <c r="C121" t="s">
        <v>282</v>
      </c>
      <c r="D121" t="s">
        <v>283</v>
      </c>
      <c r="E121" t="s">
        <v>230</v>
      </c>
      <c r="F121" t="s">
        <v>231</v>
      </c>
      <c r="G121" t="s">
        <v>284</v>
      </c>
      <c r="H121">
        <v>5.1436548350000004</v>
      </c>
      <c r="I121">
        <v>38.951229769999998</v>
      </c>
      <c r="J121">
        <f t="shared" si="2"/>
        <v>1.2133574731692811</v>
      </c>
      <c r="K121">
        <f t="shared" si="3"/>
        <v>0.7716916033946275</v>
      </c>
      <c r="L121">
        <v>97</v>
      </c>
      <c r="M121" t="s">
        <v>154</v>
      </c>
      <c r="N121">
        <v>2.7693477</v>
      </c>
      <c r="O121">
        <v>2.8932877000000001</v>
      </c>
      <c r="P121">
        <v>21.912583000000001</v>
      </c>
      <c r="Q121">
        <v>7.11532E-2</v>
      </c>
      <c r="R121">
        <v>15.444161299999999</v>
      </c>
      <c r="S121">
        <v>1.3732149</v>
      </c>
      <c r="T121">
        <v>0.51495630000000003</v>
      </c>
      <c r="U121">
        <v>10.0185207</v>
      </c>
      <c r="V121">
        <v>11.3027286</v>
      </c>
      <c r="W121">
        <v>14.719595200000001</v>
      </c>
      <c r="X121">
        <v>7.3467734</v>
      </c>
      <c r="Y121">
        <v>4.8035207</v>
      </c>
      <c r="Z121">
        <v>7.8890500000000002E-2</v>
      </c>
      <c r="AA121">
        <v>8.3228422000000002</v>
      </c>
      <c r="AB121">
        <v>7.1226034</v>
      </c>
      <c r="AC121">
        <v>5.8338235000000003</v>
      </c>
      <c r="AD121">
        <v>1.5440361</v>
      </c>
      <c r="AE121">
        <v>0.60028539999999997</v>
      </c>
      <c r="AF121">
        <v>10.918712899999999</v>
      </c>
      <c r="AG121">
        <v>16.065710500000002</v>
      </c>
      <c r="AH121">
        <v>4.3418957000000002</v>
      </c>
      <c r="AI121">
        <v>16.190197999999999</v>
      </c>
      <c r="AJ121">
        <v>8.1505766000000008</v>
      </c>
      <c r="AK121">
        <v>1.2202766</v>
      </c>
      <c r="AL121">
        <v>13.1266511</v>
      </c>
      <c r="AM121">
        <v>10.297815999999999</v>
      </c>
      <c r="AN121">
        <v>7.0365580000000003</v>
      </c>
      <c r="AO121">
        <v>14.582574299999999</v>
      </c>
      <c r="AP121">
        <v>1.3724782</v>
      </c>
      <c r="AQ121">
        <v>7.9255415999999999</v>
      </c>
      <c r="AR121">
        <v>3.9676266999999998</v>
      </c>
      <c r="AS121">
        <v>6.4613861000000004</v>
      </c>
      <c r="AT121">
        <v>5.8166831999999999</v>
      </c>
      <c r="AU121">
        <v>21.6953727</v>
      </c>
      <c r="AV121">
        <v>0.87653760000000003</v>
      </c>
      <c r="AW121">
        <v>20.6741089</v>
      </c>
      <c r="AX121">
        <v>5.1479585999999999</v>
      </c>
      <c r="AY121">
        <v>1.9734566</v>
      </c>
      <c r="AZ121">
        <v>5.4926471000000001</v>
      </c>
      <c r="BA121">
        <v>8.5829900000000001E-2</v>
      </c>
      <c r="BB121">
        <v>10.6032207</v>
      </c>
      <c r="BC121">
        <v>5.9692224999999999</v>
      </c>
      <c r="BD121">
        <v>9.0252911999999998</v>
      </c>
      <c r="BE121">
        <v>6.2431245999999998</v>
      </c>
      <c r="BF121">
        <v>17.927783900000001</v>
      </c>
      <c r="BG121">
        <v>0.217749</v>
      </c>
      <c r="BH121">
        <v>31.9276558</v>
      </c>
      <c r="BI121">
        <v>0.36291499999999999</v>
      </c>
      <c r="BJ121">
        <v>0.85847119999999999</v>
      </c>
      <c r="BK121">
        <v>1.5449621</v>
      </c>
      <c r="BL121">
        <v>1.3732994000000001</v>
      </c>
      <c r="BM121">
        <v>5.9550291</v>
      </c>
      <c r="BN121">
        <v>2.8227343999999999</v>
      </c>
      <c r="BO121">
        <v>1.7491205999999999</v>
      </c>
      <c r="BP121">
        <v>3.8582877</v>
      </c>
      <c r="BQ121">
        <v>0.91151720000000003</v>
      </c>
      <c r="BR121">
        <v>2.2925073</v>
      </c>
      <c r="BS121">
        <v>6.7097932</v>
      </c>
      <c r="BT121">
        <v>3.6892602999999999</v>
      </c>
      <c r="BU121">
        <v>1.2886196999999999</v>
      </c>
      <c r="BV121">
        <v>1.1009667999999999</v>
      </c>
      <c r="BW121">
        <v>0.34937390000000001</v>
      </c>
      <c r="BX121">
        <v>5.4131334000000004</v>
      </c>
      <c r="BY121">
        <v>1.4902854000000001</v>
      </c>
      <c r="BZ121">
        <v>1.1564327000000001</v>
      </c>
      <c r="CA121">
        <v>1.0687040999999999</v>
      </c>
      <c r="CB121">
        <v>0.80389920000000004</v>
      </c>
      <c r="CC121">
        <v>0.6023733</v>
      </c>
      <c r="CD121">
        <v>8.3873000000000003E-2</v>
      </c>
      <c r="CE121">
        <v>4.2396273000000004</v>
      </c>
      <c r="CF121">
        <v>3.1321462000000002</v>
      </c>
      <c r="CG121">
        <v>0.1392079</v>
      </c>
      <c r="CH121">
        <v>1.6239399999999999</v>
      </c>
      <c r="CI121">
        <v>1.6633751000000001</v>
      </c>
      <c r="CJ121">
        <v>2.6786983000000002</v>
      </c>
      <c r="CK121">
        <v>0.80612110000000003</v>
      </c>
      <c r="CL121">
        <v>15.142058799999999</v>
      </c>
      <c r="CM121">
        <v>5.6959609999999996</v>
      </c>
      <c r="CN121">
        <v>0.2100844</v>
      </c>
      <c r="CO121">
        <v>1.7012871000000001</v>
      </c>
      <c r="CP121">
        <v>0.40604249999999997</v>
      </c>
      <c r="CQ121">
        <v>0.60626380000000002</v>
      </c>
      <c r="CR121">
        <v>1.2443652000000001</v>
      </c>
      <c r="CS121">
        <v>0.85234710000000002</v>
      </c>
      <c r="CT121">
        <v>0.97856140000000003</v>
      </c>
      <c r="CU121">
        <v>20.124766999999999</v>
      </c>
      <c r="CV121">
        <v>1.2888556</v>
      </c>
      <c r="CW121">
        <v>0.6186488</v>
      </c>
      <c r="CX121">
        <v>0.44394289999999997</v>
      </c>
      <c r="CY121">
        <v>2.0901573</v>
      </c>
      <c r="CZ121">
        <v>0.94449039999999995</v>
      </c>
      <c r="DA121">
        <v>2.5262099999999999E-2</v>
      </c>
      <c r="DB121">
        <v>2.0876179000000001</v>
      </c>
      <c r="DC121">
        <v>1.5538031000000001</v>
      </c>
      <c r="DD121">
        <v>0.71030870000000002</v>
      </c>
      <c r="DE121">
        <v>0.35515429999999998</v>
      </c>
      <c r="DF121">
        <v>7.8896300000000003E-2</v>
      </c>
    </row>
    <row r="122" spans="1:113" x14ac:dyDescent="0.2">
      <c r="A122">
        <v>121</v>
      </c>
      <c r="B122" t="s">
        <v>287</v>
      </c>
      <c r="C122" t="s">
        <v>288</v>
      </c>
      <c r="D122" t="s">
        <v>270</v>
      </c>
      <c r="E122" t="s">
        <v>230</v>
      </c>
      <c r="F122" t="s">
        <v>240</v>
      </c>
      <c r="G122" t="s">
        <v>289</v>
      </c>
      <c r="H122">
        <v>1.1509999999999999E-2</v>
      </c>
      <c r="I122" s="1">
        <v>6.3583200000000005E-5</v>
      </c>
      <c r="J122">
        <f t="shared" si="2"/>
        <v>0.69278083828608406</v>
      </c>
      <c r="K122">
        <f t="shared" si="3"/>
        <v>0.56947286693972066</v>
      </c>
      <c r="L122">
        <v>10</v>
      </c>
      <c r="M122" t="s">
        <v>154</v>
      </c>
      <c r="O122">
        <v>1.0500000000000001E-2</v>
      </c>
      <c r="P122">
        <v>1.18E-2</v>
      </c>
      <c r="Q122">
        <v>1.9300000000000001E-2</v>
      </c>
      <c r="R122">
        <v>6.7999999999999996E-3</v>
      </c>
      <c r="T122">
        <v>2.35E-2</v>
      </c>
      <c r="U122">
        <v>6.7000000000000002E-3</v>
      </c>
      <c r="V122">
        <v>8.6E-3</v>
      </c>
      <c r="X122">
        <v>2.3999999999999998E-3</v>
      </c>
      <c r="Z122">
        <v>2.3400000000000001E-2</v>
      </c>
      <c r="AA122">
        <v>2.0999999999999999E-3</v>
      </c>
    </row>
    <row r="123" spans="1:113" x14ac:dyDescent="0.2">
      <c r="A123">
        <v>122</v>
      </c>
      <c r="B123" t="s">
        <v>287</v>
      </c>
      <c r="C123" t="s">
        <v>288</v>
      </c>
      <c r="D123" t="s">
        <v>270</v>
      </c>
      <c r="E123" t="s">
        <v>230</v>
      </c>
      <c r="F123" t="s">
        <v>240</v>
      </c>
      <c r="G123" t="s">
        <v>290</v>
      </c>
      <c r="H123">
        <v>0.46472999999999998</v>
      </c>
      <c r="I123">
        <v>0.42134235599999997</v>
      </c>
      <c r="J123">
        <f t="shared" si="2"/>
        <v>1.3967441176427111</v>
      </c>
      <c r="K123">
        <f t="shared" si="3"/>
        <v>0.81309265282581344</v>
      </c>
      <c r="L123">
        <v>10</v>
      </c>
      <c r="M123" t="s">
        <v>154</v>
      </c>
      <c r="O123">
        <v>1.258</v>
      </c>
      <c r="P123">
        <v>0.76759999999999995</v>
      </c>
      <c r="R123">
        <v>1.7399999999999999E-2</v>
      </c>
      <c r="S123">
        <v>0.15</v>
      </c>
      <c r="T123">
        <v>1.34E-2</v>
      </c>
      <c r="U123">
        <v>1.1000000000000001E-3</v>
      </c>
      <c r="V123">
        <v>0.5857</v>
      </c>
      <c r="X123">
        <v>1.8476999999999999</v>
      </c>
      <c r="Y123">
        <v>1.9E-3</v>
      </c>
      <c r="Z123">
        <v>4.4999999999999997E-3</v>
      </c>
    </row>
    <row r="124" spans="1:113" x14ac:dyDescent="0.2">
      <c r="A124">
        <v>123</v>
      </c>
      <c r="B124" t="s">
        <v>287</v>
      </c>
      <c r="C124" t="s">
        <v>288</v>
      </c>
      <c r="D124" t="s">
        <v>270</v>
      </c>
      <c r="E124" t="s">
        <v>230</v>
      </c>
      <c r="F124" t="s">
        <v>240</v>
      </c>
      <c r="G124" t="s">
        <v>291</v>
      </c>
      <c r="H124">
        <v>6.7536364000000002E-2</v>
      </c>
      <c r="I124">
        <v>5.979135E-3</v>
      </c>
      <c r="J124">
        <f t="shared" si="2"/>
        <v>1.144936772643262</v>
      </c>
      <c r="K124">
        <f t="shared" si="3"/>
        <v>0.75316960819037726</v>
      </c>
      <c r="L124">
        <v>11</v>
      </c>
      <c r="M124" t="s">
        <v>154</v>
      </c>
      <c r="P124">
        <v>3.0800000000000001E-2</v>
      </c>
      <c r="Q124">
        <v>1.6999999999999999E-3</v>
      </c>
      <c r="R124">
        <v>8.0000000000000004E-4</v>
      </c>
      <c r="S124">
        <v>2.0299999999999999E-2</v>
      </c>
      <c r="T124">
        <v>0.13489999999999999</v>
      </c>
      <c r="V124">
        <v>2.81E-2</v>
      </c>
      <c r="W124">
        <v>3.8100000000000002E-2</v>
      </c>
      <c r="X124">
        <v>9.3399999999999997E-2</v>
      </c>
      <c r="Y124">
        <v>0.15840000000000001</v>
      </c>
      <c r="Z124">
        <v>3.3E-3</v>
      </c>
      <c r="AA124">
        <v>0.2331</v>
      </c>
    </row>
    <row r="125" spans="1:113" x14ac:dyDescent="0.2">
      <c r="A125">
        <v>124</v>
      </c>
      <c r="B125" t="s">
        <v>287</v>
      </c>
      <c r="C125" t="s">
        <v>288</v>
      </c>
      <c r="D125" t="s">
        <v>270</v>
      </c>
      <c r="E125" t="s">
        <v>230</v>
      </c>
      <c r="F125" t="s">
        <v>240</v>
      </c>
      <c r="G125" t="s">
        <v>292</v>
      </c>
      <c r="H125">
        <v>2.5454544999999999E-2</v>
      </c>
      <c r="I125">
        <v>2.6881890000000001E-3</v>
      </c>
      <c r="J125">
        <f t="shared" si="2"/>
        <v>2.0368758610120765</v>
      </c>
      <c r="K125">
        <f t="shared" si="3"/>
        <v>0.89765381650952725</v>
      </c>
      <c r="L125">
        <v>11</v>
      </c>
      <c r="M125" t="s">
        <v>154</v>
      </c>
      <c r="O125">
        <v>0.18</v>
      </c>
      <c r="P125">
        <v>2.4400000000000002E-2</v>
      </c>
      <c r="Q125">
        <v>2.2599999999999999E-2</v>
      </c>
      <c r="R125">
        <v>5.3E-3</v>
      </c>
      <c r="S125">
        <v>6.6E-3</v>
      </c>
      <c r="T125">
        <v>3.5000000000000001E-3</v>
      </c>
      <c r="V125">
        <v>8.5000000000000006E-3</v>
      </c>
      <c r="W125">
        <v>1E-3</v>
      </c>
      <c r="X125">
        <v>3.5999999999999999E-3</v>
      </c>
      <c r="Y125">
        <v>8.2000000000000007E-3</v>
      </c>
      <c r="Z125">
        <v>1.6299999999999999E-2</v>
      </c>
    </row>
    <row r="126" spans="1:113" x14ac:dyDescent="0.2">
      <c r="A126">
        <v>125</v>
      </c>
      <c r="B126" t="s">
        <v>287</v>
      </c>
      <c r="C126" t="s">
        <v>288</v>
      </c>
      <c r="D126" t="s">
        <v>270</v>
      </c>
      <c r="E126" t="s">
        <v>230</v>
      </c>
      <c r="F126" t="s">
        <v>240</v>
      </c>
      <c r="G126" t="s">
        <v>293</v>
      </c>
      <c r="H126">
        <v>0.29939090899999998</v>
      </c>
      <c r="I126">
        <v>0.101346861</v>
      </c>
      <c r="J126">
        <f t="shared" si="2"/>
        <v>1.0633262666228913</v>
      </c>
      <c r="K126">
        <f t="shared" si="3"/>
        <v>0.72846583053172387</v>
      </c>
      <c r="L126">
        <v>11</v>
      </c>
      <c r="M126" t="s">
        <v>154</v>
      </c>
      <c r="O126">
        <v>0.1971</v>
      </c>
      <c r="P126">
        <v>0.27339999999999998</v>
      </c>
      <c r="Q126">
        <v>0.37809999999999999</v>
      </c>
      <c r="R126">
        <v>2.5000000000000001E-3</v>
      </c>
      <c r="S126">
        <v>4.6699999999999998E-2</v>
      </c>
      <c r="T126">
        <v>0.1366</v>
      </c>
      <c r="U126">
        <v>1.0524</v>
      </c>
      <c r="V126">
        <v>0.56659999999999999</v>
      </c>
      <c r="W126">
        <v>9.98E-2</v>
      </c>
      <c r="X126">
        <v>7.7000000000000002E-3</v>
      </c>
      <c r="Y126">
        <v>0.53239999999999998</v>
      </c>
    </row>
    <row r="127" spans="1:113" x14ac:dyDescent="0.2">
      <c r="A127">
        <v>126</v>
      </c>
      <c r="B127" t="s">
        <v>287</v>
      </c>
      <c r="C127" t="s">
        <v>288</v>
      </c>
      <c r="D127" t="s">
        <v>270</v>
      </c>
      <c r="E127" t="s">
        <v>230</v>
      </c>
      <c r="F127" t="s">
        <v>240</v>
      </c>
      <c r="G127" t="s">
        <v>294</v>
      </c>
      <c r="H127">
        <v>9.3241667E-2</v>
      </c>
      <c r="I127">
        <v>7.1545121000000003E-2</v>
      </c>
      <c r="J127">
        <f t="shared" si="2"/>
        <v>2.8686659722842576</v>
      </c>
      <c r="K127">
        <f t="shared" si="3"/>
        <v>0.9442715546056818</v>
      </c>
      <c r="L127">
        <v>12</v>
      </c>
      <c r="M127" t="s">
        <v>154</v>
      </c>
      <c r="N127">
        <v>8.9999999999999998E-4</v>
      </c>
      <c r="O127">
        <v>0.94079999999999997</v>
      </c>
      <c r="P127">
        <v>9.1999999999999998E-3</v>
      </c>
      <c r="Q127">
        <v>2.1399999999999999E-2</v>
      </c>
      <c r="R127">
        <v>1.8700000000000001E-2</v>
      </c>
      <c r="S127">
        <v>1.2500000000000001E-2</v>
      </c>
      <c r="U127">
        <v>1.1000000000000001E-3</v>
      </c>
      <c r="V127">
        <v>6.2E-2</v>
      </c>
      <c r="W127">
        <v>3.3500000000000002E-2</v>
      </c>
      <c r="X127">
        <v>4.1000000000000003E-3</v>
      </c>
      <c r="Y127">
        <v>1.3599999999999999E-2</v>
      </c>
      <c r="AA127">
        <v>1.1000000000000001E-3</v>
      </c>
    </row>
    <row r="128" spans="1:113" x14ac:dyDescent="0.2">
      <c r="A128">
        <v>127</v>
      </c>
      <c r="B128" t="s">
        <v>287</v>
      </c>
      <c r="C128" t="s">
        <v>288</v>
      </c>
      <c r="D128" t="s">
        <v>270</v>
      </c>
      <c r="E128" t="s">
        <v>230</v>
      </c>
      <c r="F128" t="s">
        <v>240</v>
      </c>
      <c r="G128" t="s">
        <v>295</v>
      </c>
      <c r="H128">
        <v>6.8507691999999995E-2</v>
      </c>
      <c r="I128">
        <v>4.4495389999999998E-3</v>
      </c>
      <c r="J128">
        <f t="shared" si="2"/>
        <v>0.97368431109971298</v>
      </c>
      <c r="K128">
        <f t="shared" si="3"/>
        <v>0.69761672014423215</v>
      </c>
      <c r="L128">
        <v>13</v>
      </c>
      <c r="M128" t="s">
        <v>154</v>
      </c>
      <c r="O128">
        <v>0.17199999999999999</v>
      </c>
      <c r="P128">
        <v>0.20760000000000001</v>
      </c>
      <c r="Q128">
        <v>9.0300000000000005E-2</v>
      </c>
      <c r="R128">
        <v>2.29E-2</v>
      </c>
      <c r="S128">
        <v>6.7400000000000002E-2</v>
      </c>
      <c r="T128">
        <v>1.2699999999999999E-2</v>
      </c>
      <c r="U128">
        <v>2.8999999999999998E-3</v>
      </c>
      <c r="V128">
        <v>0.13850000000000001</v>
      </c>
      <c r="W128">
        <v>3.3300000000000003E-2</v>
      </c>
      <c r="X128">
        <v>4.7199999999999999E-2</v>
      </c>
      <c r="Y128">
        <v>1.0200000000000001E-2</v>
      </c>
      <c r="Z128">
        <v>1.0800000000000001E-2</v>
      </c>
      <c r="AA128">
        <v>7.4800000000000005E-2</v>
      </c>
    </row>
    <row r="129" spans="1:33" x14ac:dyDescent="0.2">
      <c r="A129">
        <v>128</v>
      </c>
      <c r="B129" t="s">
        <v>287</v>
      </c>
      <c r="C129" t="s">
        <v>288</v>
      </c>
      <c r="D129" t="s">
        <v>270</v>
      </c>
      <c r="E129" t="s">
        <v>230</v>
      </c>
      <c r="F129" t="s">
        <v>240</v>
      </c>
      <c r="G129" t="s">
        <v>296</v>
      </c>
      <c r="H129">
        <v>0.118907692</v>
      </c>
      <c r="I129">
        <v>1.1766179E-2</v>
      </c>
      <c r="J129">
        <f t="shared" si="2"/>
        <v>0.91223719516467294</v>
      </c>
      <c r="K129">
        <f t="shared" si="3"/>
        <v>0.6739444450863693</v>
      </c>
      <c r="L129">
        <v>13</v>
      </c>
      <c r="M129" t="s">
        <v>154</v>
      </c>
      <c r="O129">
        <v>3.4599999999999999E-2</v>
      </c>
      <c r="P129">
        <v>6.4699999999999994E-2</v>
      </c>
      <c r="Q129">
        <v>0.41670000000000001</v>
      </c>
      <c r="R129">
        <v>0.21890000000000001</v>
      </c>
      <c r="S129">
        <v>6.7500000000000004E-2</v>
      </c>
      <c r="T129">
        <v>2.1700000000000001E-2</v>
      </c>
      <c r="U129">
        <v>4.4699999999999997E-2</v>
      </c>
      <c r="V129">
        <v>7.7200000000000005E-2</v>
      </c>
      <c r="W129">
        <v>0.14699999999999999</v>
      </c>
      <c r="X129">
        <v>3.2000000000000001E-2</v>
      </c>
      <c r="Y129">
        <v>0.1018</v>
      </c>
      <c r="Z129">
        <v>0.13500000000000001</v>
      </c>
      <c r="AA129">
        <v>0.184</v>
      </c>
    </row>
    <row r="130" spans="1:33" x14ac:dyDescent="0.2">
      <c r="A130">
        <v>129</v>
      </c>
      <c r="B130" t="s">
        <v>287</v>
      </c>
      <c r="C130" t="s">
        <v>288</v>
      </c>
      <c r="D130" t="s">
        <v>270</v>
      </c>
      <c r="E130" t="s">
        <v>230</v>
      </c>
      <c r="F130" t="s">
        <v>240</v>
      </c>
      <c r="G130" t="s">
        <v>271</v>
      </c>
      <c r="H130">
        <v>6.9578571000000006E-2</v>
      </c>
      <c r="I130">
        <v>9.4708940000000005E-3</v>
      </c>
      <c r="J130">
        <f t="shared" si="2"/>
        <v>1.3986852112685233</v>
      </c>
      <c r="K130">
        <f t="shared" si="3"/>
        <v>0.81347505269795162</v>
      </c>
      <c r="L130">
        <v>14</v>
      </c>
      <c r="M130" t="s">
        <v>154</v>
      </c>
      <c r="N130">
        <v>3.2099999999999997E-2</v>
      </c>
      <c r="O130">
        <v>0.37030000000000002</v>
      </c>
      <c r="P130">
        <v>5.04E-2</v>
      </c>
      <c r="Q130">
        <v>0.1406</v>
      </c>
      <c r="R130">
        <v>0.12379999999999999</v>
      </c>
      <c r="S130">
        <v>7.1000000000000004E-3</v>
      </c>
      <c r="T130">
        <v>1.6999999999999999E-3</v>
      </c>
      <c r="U130">
        <v>2.9999999999999997E-4</v>
      </c>
      <c r="V130">
        <v>9.3799999999999994E-2</v>
      </c>
      <c r="W130">
        <v>5.16E-2</v>
      </c>
      <c r="X130">
        <v>1.41E-2</v>
      </c>
      <c r="Y130">
        <v>3.4200000000000001E-2</v>
      </c>
      <c r="Z130">
        <v>4.6600000000000003E-2</v>
      </c>
      <c r="AA130">
        <v>7.4999999999999997E-3</v>
      </c>
    </row>
    <row r="131" spans="1:33" x14ac:dyDescent="0.2">
      <c r="A131">
        <v>130</v>
      </c>
      <c r="B131" t="s">
        <v>287</v>
      </c>
      <c r="C131" t="s">
        <v>288</v>
      </c>
      <c r="D131" t="s">
        <v>270</v>
      </c>
      <c r="E131" t="s">
        <v>230</v>
      </c>
      <c r="F131" t="s">
        <v>240</v>
      </c>
      <c r="G131" t="s">
        <v>297</v>
      </c>
      <c r="H131">
        <v>0.30605714299999998</v>
      </c>
      <c r="I131">
        <v>0.41758314600000002</v>
      </c>
      <c r="J131">
        <f t="shared" ref="J131:J194" si="4">SQRT(I131)/H131</f>
        <v>2.1113924345475539</v>
      </c>
      <c r="K131">
        <f t="shared" ref="K131:K194" si="5">SQRT(J131^2/(1+J131^2))</f>
        <v>0.90375990517434535</v>
      </c>
      <c r="L131">
        <v>14</v>
      </c>
      <c r="M131" t="s">
        <v>154</v>
      </c>
      <c r="N131">
        <v>8.9099999999999999E-2</v>
      </c>
      <c r="O131">
        <v>2.4872999999999998</v>
      </c>
      <c r="P131">
        <v>0.4985</v>
      </c>
      <c r="Q131">
        <v>0.31059999999999999</v>
      </c>
      <c r="R131">
        <v>0.37430000000000002</v>
      </c>
      <c r="S131">
        <v>5.5999999999999999E-3</v>
      </c>
      <c r="T131">
        <v>3.2800000000000003E-2</v>
      </c>
      <c r="U131">
        <v>7.1400000000000005E-2</v>
      </c>
      <c r="V131">
        <v>3.61E-2</v>
      </c>
      <c r="W131">
        <v>8.9399999999999993E-2</v>
      </c>
      <c r="X131">
        <v>3.5400000000000001E-2</v>
      </c>
      <c r="Y131">
        <v>1.2999999999999999E-2</v>
      </c>
      <c r="Z131">
        <v>3.6200000000000003E-2</v>
      </c>
      <c r="AA131">
        <v>0.2051</v>
      </c>
    </row>
    <row r="132" spans="1:33" x14ac:dyDescent="0.2">
      <c r="A132">
        <v>131</v>
      </c>
      <c r="B132" t="s">
        <v>287</v>
      </c>
      <c r="C132" t="s">
        <v>288</v>
      </c>
      <c r="D132" t="s">
        <v>270</v>
      </c>
      <c r="E132" t="s">
        <v>230</v>
      </c>
      <c r="F132" t="s">
        <v>240</v>
      </c>
      <c r="G132" t="s">
        <v>298</v>
      </c>
      <c r="H132">
        <v>2.3442857000000001E-2</v>
      </c>
      <c r="I132">
        <v>3.8016100000000001E-4</v>
      </c>
      <c r="J132">
        <f t="shared" si="4"/>
        <v>0.83171252612981683</v>
      </c>
      <c r="K132">
        <f t="shared" si="5"/>
        <v>0.63944868455465187</v>
      </c>
      <c r="L132">
        <v>14</v>
      </c>
      <c r="M132" t="s">
        <v>154</v>
      </c>
      <c r="N132">
        <v>6.3E-3</v>
      </c>
      <c r="O132">
        <v>2.7199999999999998E-2</v>
      </c>
      <c r="P132">
        <v>7.2599999999999998E-2</v>
      </c>
      <c r="Q132">
        <v>3.0200000000000001E-2</v>
      </c>
      <c r="R132">
        <v>1.5800000000000002E-2</v>
      </c>
      <c r="S132">
        <v>9.4999999999999998E-3</v>
      </c>
      <c r="T132">
        <v>4.5999999999999999E-3</v>
      </c>
      <c r="U132">
        <v>1.4999999999999999E-2</v>
      </c>
      <c r="V132">
        <v>5.33E-2</v>
      </c>
      <c r="W132">
        <v>1.9900000000000001E-2</v>
      </c>
      <c r="X132">
        <v>7.4999999999999997E-3</v>
      </c>
      <c r="Y132">
        <v>3.0099999999999998E-2</v>
      </c>
      <c r="Z132">
        <v>2.8899999999999999E-2</v>
      </c>
      <c r="AA132">
        <v>7.3000000000000001E-3</v>
      </c>
    </row>
    <row r="133" spans="1:33" x14ac:dyDescent="0.2">
      <c r="A133">
        <v>132</v>
      </c>
      <c r="B133" t="s">
        <v>287</v>
      </c>
      <c r="C133" t="s">
        <v>288</v>
      </c>
      <c r="D133" t="s">
        <v>270</v>
      </c>
      <c r="E133" t="s">
        <v>230</v>
      </c>
      <c r="F133" t="s">
        <v>240</v>
      </c>
      <c r="G133" t="s">
        <v>299</v>
      </c>
      <c r="H133">
        <v>0.188064286</v>
      </c>
      <c r="I133">
        <v>7.9470658E-2</v>
      </c>
      <c r="J133">
        <f t="shared" si="4"/>
        <v>1.4989842681803169</v>
      </c>
      <c r="K133">
        <f t="shared" si="5"/>
        <v>0.83187681031909155</v>
      </c>
      <c r="L133">
        <v>14</v>
      </c>
      <c r="M133" t="s">
        <v>154</v>
      </c>
      <c r="N133">
        <v>4.58E-2</v>
      </c>
      <c r="O133">
        <v>0.99819999999999998</v>
      </c>
      <c r="P133">
        <v>0.1258</v>
      </c>
      <c r="Q133">
        <v>3.1699999999999999E-2</v>
      </c>
      <c r="R133">
        <v>0.30070000000000002</v>
      </c>
      <c r="S133">
        <v>4.36E-2</v>
      </c>
      <c r="T133">
        <v>5.8999999999999999E-3</v>
      </c>
      <c r="U133">
        <v>3.61E-2</v>
      </c>
      <c r="V133">
        <v>0.53890000000000005</v>
      </c>
      <c r="W133">
        <v>5.0000000000000001E-3</v>
      </c>
      <c r="X133">
        <v>0.1188</v>
      </c>
      <c r="Y133">
        <v>2.1000000000000001E-2</v>
      </c>
      <c r="Z133">
        <v>0.3372</v>
      </c>
      <c r="AA133">
        <v>2.4199999999999999E-2</v>
      </c>
    </row>
    <row r="134" spans="1:33" x14ac:dyDescent="0.2">
      <c r="A134">
        <v>133</v>
      </c>
      <c r="B134" t="s">
        <v>287</v>
      </c>
      <c r="C134" t="s">
        <v>288</v>
      </c>
      <c r="D134" t="s">
        <v>270</v>
      </c>
      <c r="E134" t="s">
        <v>230</v>
      </c>
      <c r="F134" t="s">
        <v>240</v>
      </c>
      <c r="G134" t="s">
        <v>300</v>
      </c>
      <c r="H134">
        <v>1.175342857</v>
      </c>
      <c r="I134">
        <v>3.9561473349999998</v>
      </c>
      <c r="J134">
        <f t="shared" si="4"/>
        <v>1.692277796477788</v>
      </c>
      <c r="K134">
        <f t="shared" si="5"/>
        <v>0.86092259199372578</v>
      </c>
      <c r="L134">
        <v>14</v>
      </c>
      <c r="M134" t="s">
        <v>154</v>
      </c>
      <c r="N134">
        <v>6.7944000000000004</v>
      </c>
      <c r="O134">
        <v>0.95520000000000005</v>
      </c>
      <c r="P134">
        <v>4.5057</v>
      </c>
      <c r="Q134">
        <v>6.8599999999999994E-2</v>
      </c>
      <c r="R134">
        <v>2.6700000000000002E-2</v>
      </c>
      <c r="S134">
        <v>0.65039999999999998</v>
      </c>
      <c r="T134">
        <v>0.40489999999999998</v>
      </c>
      <c r="U134">
        <v>0.71819999999999995</v>
      </c>
      <c r="V134">
        <v>5.2200000000000003E-2</v>
      </c>
      <c r="W134">
        <v>3.9100000000000003E-2</v>
      </c>
      <c r="X134">
        <v>0.69010000000000005</v>
      </c>
      <c r="Y134">
        <v>4.7000000000000002E-3</v>
      </c>
      <c r="Z134">
        <v>0.21970000000000001</v>
      </c>
      <c r="AA134">
        <v>1.3249</v>
      </c>
    </row>
    <row r="135" spans="1:33" x14ac:dyDescent="0.2">
      <c r="A135">
        <v>134</v>
      </c>
      <c r="B135" t="s">
        <v>287</v>
      </c>
      <c r="C135" t="s">
        <v>288</v>
      </c>
      <c r="D135" t="s">
        <v>270</v>
      </c>
      <c r="E135" t="s">
        <v>230</v>
      </c>
      <c r="F135" t="s">
        <v>240</v>
      </c>
      <c r="G135" t="s">
        <v>250</v>
      </c>
      <c r="H135">
        <v>2.4826214289999999</v>
      </c>
      <c r="I135">
        <v>4.0783469060000002</v>
      </c>
      <c r="J135">
        <f t="shared" si="4"/>
        <v>0.81345134658238571</v>
      </c>
      <c r="K135">
        <f t="shared" si="5"/>
        <v>0.63103706394425729</v>
      </c>
      <c r="L135">
        <v>14</v>
      </c>
      <c r="M135" t="s">
        <v>154</v>
      </c>
      <c r="N135">
        <v>3.0962999999999998</v>
      </c>
      <c r="O135">
        <v>6.5427</v>
      </c>
      <c r="P135">
        <v>4.6711</v>
      </c>
      <c r="Q135">
        <v>1.9504999999999999</v>
      </c>
      <c r="R135">
        <v>2.3525</v>
      </c>
      <c r="S135">
        <v>1.5230999999999999</v>
      </c>
      <c r="T135">
        <v>0.42349999999999999</v>
      </c>
      <c r="U135">
        <v>0.75480000000000003</v>
      </c>
      <c r="V135">
        <v>2.3717999999999999</v>
      </c>
      <c r="W135">
        <v>1.8170999999999999</v>
      </c>
      <c r="X135">
        <v>0.52449999999999997</v>
      </c>
      <c r="Y135">
        <v>0.67110000000000003</v>
      </c>
      <c r="Z135">
        <v>6.3277000000000001</v>
      </c>
      <c r="AA135">
        <v>1.73</v>
      </c>
    </row>
    <row r="136" spans="1:33" x14ac:dyDescent="0.2">
      <c r="A136">
        <v>135</v>
      </c>
      <c r="B136" t="s">
        <v>287</v>
      </c>
      <c r="C136" t="s">
        <v>288</v>
      </c>
      <c r="D136" t="s">
        <v>270</v>
      </c>
      <c r="E136" t="s">
        <v>230</v>
      </c>
      <c r="F136" t="s">
        <v>240</v>
      </c>
      <c r="G136" t="s">
        <v>301</v>
      </c>
      <c r="H136">
        <v>3.573978571</v>
      </c>
      <c r="I136">
        <v>144.5090366</v>
      </c>
      <c r="J136">
        <f t="shared" si="4"/>
        <v>3.3635319598291922</v>
      </c>
      <c r="K136">
        <f t="shared" si="5"/>
        <v>0.95853394007523118</v>
      </c>
      <c r="L136">
        <v>14</v>
      </c>
      <c r="M136" t="s">
        <v>154</v>
      </c>
      <c r="N136">
        <v>8.0000000000000002E-3</v>
      </c>
      <c r="O136">
        <v>0.1358</v>
      </c>
      <c r="P136">
        <v>0.27910000000000001</v>
      </c>
      <c r="Q136">
        <v>8.9399999999999993E-2</v>
      </c>
      <c r="R136">
        <v>0.33579999999999999</v>
      </c>
      <c r="S136">
        <v>0.04</v>
      </c>
      <c r="T136">
        <v>2.0183</v>
      </c>
      <c r="U136">
        <v>7.6600000000000001E-2</v>
      </c>
      <c r="V136">
        <v>8.8000000000000005E-3</v>
      </c>
      <c r="W136">
        <v>45.281700000000001</v>
      </c>
      <c r="X136">
        <v>2.7900000000000001E-2</v>
      </c>
      <c r="Y136">
        <v>8.3000000000000004E-2</v>
      </c>
      <c r="Z136">
        <v>1.6449</v>
      </c>
      <c r="AA136">
        <v>6.4000000000000003E-3</v>
      </c>
    </row>
    <row r="137" spans="1:33" x14ac:dyDescent="0.2">
      <c r="A137">
        <v>136</v>
      </c>
      <c r="B137" t="s">
        <v>287</v>
      </c>
      <c r="C137" t="s">
        <v>288</v>
      </c>
      <c r="D137" t="s">
        <v>270</v>
      </c>
      <c r="E137" t="s">
        <v>230</v>
      </c>
      <c r="F137" t="s">
        <v>240</v>
      </c>
      <c r="G137" t="s">
        <v>302</v>
      </c>
      <c r="H137">
        <v>5.6950000000000001E-2</v>
      </c>
      <c r="I137">
        <v>8.094047E-3</v>
      </c>
      <c r="J137">
        <f t="shared" si="4"/>
        <v>1.5797527954176183</v>
      </c>
      <c r="K137">
        <f t="shared" si="5"/>
        <v>0.84494237957063678</v>
      </c>
      <c r="L137">
        <v>14</v>
      </c>
      <c r="M137" t="s">
        <v>154</v>
      </c>
      <c r="N137">
        <v>5.0000000000000001E-4</v>
      </c>
      <c r="O137">
        <v>5.1000000000000004E-3</v>
      </c>
      <c r="P137">
        <v>9.4000000000000004E-3</v>
      </c>
      <c r="Q137">
        <v>1.0999999999999999E-2</v>
      </c>
      <c r="R137">
        <v>0.16500000000000001</v>
      </c>
      <c r="S137">
        <v>0.01</v>
      </c>
      <c r="T137">
        <v>7.1999999999999998E-3</v>
      </c>
      <c r="U137">
        <v>0.30640000000000001</v>
      </c>
      <c r="V137">
        <v>1.2200000000000001E-2</v>
      </c>
      <c r="W137">
        <v>4.7800000000000002E-2</v>
      </c>
      <c r="X137">
        <v>3.3E-3</v>
      </c>
      <c r="Y137">
        <v>3.9E-2</v>
      </c>
      <c r="Z137">
        <v>0.15690000000000001</v>
      </c>
      <c r="AA137">
        <v>2.35E-2</v>
      </c>
    </row>
    <row r="138" spans="1:33" x14ac:dyDescent="0.2">
      <c r="A138">
        <v>137</v>
      </c>
      <c r="B138" t="s">
        <v>303</v>
      </c>
      <c r="C138" t="s">
        <v>304</v>
      </c>
      <c r="D138" t="s">
        <v>305</v>
      </c>
      <c r="E138" t="s">
        <v>230</v>
      </c>
      <c r="F138" t="s">
        <v>231</v>
      </c>
      <c r="G138" t="s">
        <v>306</v>
      </c>
      <c r="H138">
        <v>0.53986166700000005</v>
      </c>
      <c r="I138">
        <v>0.87638466800000003</v>
      </c>
      <c r="J138">
        <f t="shared" si="4"/>
        <v>1.734063089705018</v>
      </c>
      <c r="K138">
        <f t="shared" si="5"/>
        <v>0.86627661064075168</v>
      </c>
      <c r="L138">
        <v>18</v>
      </c>
      <c r="M138" t="s">
        <v>154</v>
      </c>
      <c r="N138">
        <v>0.59938000000000002</v>
      </c>
      <c r="O138">
        <v>5.323E-2</v>
      </c>
      <c r="P138">
        <v>1.0856699999999999</v>
      </c>
      <c r="Q138">
        <v>0.65808</v>
      </c>
      <c r="R138">
        <v>0.98517999999999994</v>
      </c>
      <c r="S138">
        <v>0.62187999999999999</v>
      </c>
      <c r="T138">
        <v>5.3010000000000002E-2</v>
      </c>
      <c r="U138">
        <v>3.5500000000000002E-3</v>
      </c>
      <c r="X138">
        <v>7.1840000000000001E-2</v>
      </c>
      <c r="Y138">
        <v>4.5229999999999999E-2</v>
      </c>
      <c r="Z138">
        <v>7.0459999999999995E-2</v>
      </c>
      <c r="AA138">
        <v>2.0590000000000001E-2</v>
      </c>
      <c r="AB138">
        <v>4.768E-2</v>
      </c>
      <c r="AC138">
        <v>0.17304</v>
      </c>
      <c r="AD138">
        <v>3.1379999999999998E-2</v>
      </c>
      <c r="AE138">
        <v>1.04443</v>
      </c>
      <c r="AF138">
        <v>3.9540500000000001</v>
      </c>
      <c r="AG138">
        <v>0.19883000000000001</v>
      </c>
    </row>
    <row r="139" spans="1:33" x14ac:dyDescent="0.2">
      <c r="A139">
        <v>138</v>
      </c>
      <c r="B139" t="s">
        <v>303</v>
      </c>
      <c r="C139" t="s">
        <v>304</v>
      </c>
      <c r="D139" t="s">
        <v>305</v>
      </c>
      <c r="E139" t="s">
        <v>230</v>
      </c>
      <c r="F139" t="s">
        <v>231</v>
      </c>
      <c r="G139" t="s">
        <v>307</v>
      </c>
      <c r="H139">
        <v>1.2939075</v>
      </c>
      <c r="I139">
        <v>9.9742726069999996</v>
      </c>
      <c r="J139">
        <f t="shared" si="4"/>
        <v>2.4408291801429902</v>
      </c>
      <c r="K139">
        <f t="shared" si="5"/>
        <v>0.9253503393256084</v>
      </c>
      <c r="L139">
        <v>16</v>
      </c>
      <c r="M139" t="s">
        <v>154</v>
      </c>
      <c r="N139">
        <v>0.73855999999999999</v>
      </c>
      <c r="O139">
        <v>3.0849999999999999E-2</v>
      </c>
      <c r="P139">
        <v>0.1226</v>
      </c>
      <c r="Q139">
        <v>0.77175000000000005</v>
      </c>
      <c r="R139">
        <v>2.4499999999999999E-3</v>
      </c>
      <c r="S139">
        <v>1.24E-3</v>
      </c>
      <c r="T139">
        <v>9.2599999999999991E-3</v>
      </c>
      <c r="U139">
        <v>2.7539999999999999E-2</v>
      </c>
      <c r="X139">
        <v>8.2389100000000006</v>
      </c>
      <c r="Y139">
        <v>10.35772</v>
      </c>
      <c r="AA139">
        <v>1.14E-3</v>
      </c>
      <c r="AB139">
        <v>0.03</v>
      </c>
      <c r="AC139">
        <v>0.26888000000000001</v>
      </c>
      <c r="AD139">
        <v>5.5399999999999998E-3</v>
      </c>
      <c r="AF139">
        <v>6.2899999999999996E-3</v>
      </c>
      <c r="AG139">
        <v>8.9789999999999995E-2</v>
      </c>
    </row>
    <row r="140" spans="1:33" x14ac:dyDescent="0.2">
      <c r="A140">
        <v>139</v>
      </c>
      <c r="B140" t="s">
        <v>303</v>
      </c>
      <c r="C140" t="s">
        <v>304</v>
      </c>
      <c r="D140" t="s">
        <v>305</v>
      </c>
      <c r="E140" t="s">
        <v>230</v>
      </c>
      <c r="F140" t="s">
        <v>231</v>
      </c>
      <c r="G140" t="s">
        <v>308</v>
      </c>
      <c r="H140">
        <v>0.1113</v>
      </c>
      <c r="I140">
        <v>1.3272568E-2</v>
      </c>
      <c r="J140">
        <f t="shared" si="4"/>
        <v>1.0351000157552412</v>
      </c>
      <c r="K140">
        <f t="shared" si="5"/>
        <v>0.71919551464797593</v>
      </c>
      <c r="L140">
        <v>15</v>
      </c>
      <c r="M140" t="s">
        <v>154</v>
      </c>
      <c r="N140">
        <v>1.9980000000000001E-2</v>
      </c>
      <c r="O140">
        <v>8.6069999999999994E-2</v>
      </c>
      <c r="P140">
        <v>1.6800000000000001E-3</v>
      </c>
      <c r="Q140">
        <v>4.3699999999999998E-3</v>
      </c>
      <c r="R140">
        <v>0.31097000000000002</v>
      </c>
      <c r="S140">
        <v>0.2893</v>
      </c>
      <c r="T140">
        <v>0.14446000000000001</v>
      </c>
      <c r="U140">
        <v>8.4809999999999997E-2</v>
      </c>
      <c r="X140">
        <v>9.5999999999999992E-3</v>
      </c>
      <c r="Z140">
        <v>0.01</v>
      </c>
      <c r="AC140">
        <v>0.20762</v>
      </c>
      <c r="AD140">
        <v>7.5069999999999998E-2</v>
      </c>
      <c r="AE140">
        <v>8.3830000000000002E-2</v>
      </c>
      <c r="AF140">
        <v>0.31402999999999998</v>
      </c>
      <c r="AG140">
        <v>2.7709999999999999E-2</v>
      </c>
    </row>
    <row r="141" spans="1:33" x14ac:dyDescent="0.2">
      <c r="A141">
        <v>140</v>
      </c>
      <c r="B141" t="s">
        <v>303</v>
      </c>
      <c r="C141" t="s">
        <v>304</v>
      </c>
      <c r="D141" t="s">
        <v>305</v>
      </c>
      <c r="E141" t="s">
        <v>230</v>
      </c>
      <c r="F141" t="s">
        <v>231</v>
      </c>
      <c r="G141" t="s">
        <v>309</v>
      </c>
      <c r="H141">
        <v>6.4552308000000003E-2</v>
      </c>
      <c r="I141">
        <v>1.8685137000000001E-2</v>
      </c>
      <c r="J141">
        <f t="shared" si="4"/>
        <v>2.1175631396301489</v>
      </c>
      <c r="K141">
        <f t="shared" si="5"/>
        <v>0.90424211265355436</v>
      </c>
      <c r="L141">
        <v>13</v>
      </c>
      <c r="M141" t="s">
        <v>154</v>
      </c>
      <c r="N141">
        <v>1.3500000000000001E-3</v>
      </c>
      <c r="O141">
        <v>2.1389999999999999E-2</v>
      </c>
      <c r="P141">
        <v>0.3836</v>
      </c>
      <c r="Q141">
        <v>0.36055999999999999</v>
      </c>
      <c r="R141">
        <v>8.8400000000000006E-3</v>
      </c>
      <c r="X141">
        <v>8.6999999999999994E-3</v>
      </c>
      <c r="Y141">
        <v>1.0149999999999999E-2</v>
      </c>
      <c r="Z141">
        <v>9.2300000000000004E-3</v>
      </c>
      <c r="AA141">
        <v>1.2999999999999999E-3</v>
      </c>
      <c r="AB141">
        <v>3.16E-3</v>
      </c>
      <c r="AC141">
        <v>1.626E-2</v>
      </c>
      <c r="AF141">
        <v>1.259E-2</v>
      </c>
      <c r="AG141">
        <v>2.0500000000000002E-3</v>
      </c>
    </row>
    <row r="142" spans="1:33" x14ac:dyDescent="0.2">
      <c r="A142">
        <v>141</v>
      </c>
      <c r="B142" t="s">
        <v>303</v>
      </c>
      <c r="C142" t="s">
        <v>304</v>
      </c>
      <c r="D142" t="s">
        <v>305</v>
      </c>
      <c r="E142" t="s">
        <v>230</v>
      </c>
      <c r="F142" t="s">
        <v>231</v>
      </c>
      <c r="G142" t="s">
        <v>310</v>
      </c>
      <c r="H142">
        <v>2.6063333000000001E-2</v>
      </c>
      <c r="I142">
        <v>1.015808E-3</v>
      </c>
      <c r="J142">
        <f t="shared" si="4"/>
        <v>1.2228575282697403</v>
      </c>
      <c r="K142">
        <f t="shared" si="5"/>
        <v>0.77411854212229514</v>
      </c>
      <c r="L142">
        <v>12</v>
      </c>
      <c r="M142" t="s">
        <v>154</v>
      </c>
      <c r="N142">
        <v>1.661E-2</v>
      </c>
      <c r="O142">
        <v>5.1740000000000001E-2</v>
      </c>
      <c r="P142">
        <v>5.364E-2</v>
      </c>
      <c r="Q142">
        <v>7.8920000000000004E-2</v>
      </c>
      <c r="R142">
        <v>2.1350000000000001E-2</v>
      </c>
      <c r="S142">
        <v>2.99E-3</v>
      </c>
      <c r="X142">
        <v>8.9999999999999998E-4</v>
      </c>
      <c r="AC142">
        <v>1.58E-3</v>
      </c>
      <c r="AD142">
        <v>1.23E-3</v>
      </c>
      <c r="AE142">
        <v>8.4999999999999995E-4</v>
      </c>
      <c r="AF142">
        <v>8.2439999999999999E-2</v>
      </c>
      <c r="AG142">
        <v>5.1000000000000004E-4</v>
      </c>
    </row>
    <row r="143" spans="1:33" x14ac:dyDescent="0.2">
      <c r="A143">
        <v>142</v>
      </c>
      <c r="B143" t="s">
        <v>303</v>
      </c>
      <c r="C143" t="s">
        <v>304</v>
      </c>
      <c r="D143" t="s">
        <v>305</v>
      </c>
      <c r="E143" t="s">
        <v>230</v>
      </c>
      <c r="F143" t="s">
        <v>231</v>
      </c>
      <c r="G143" t="s">
        <v>311</v>
      </c>
      <c r="H143">
        <v>4.0208182000000002E-2</v>
      </c>
      <c r="I143">
        <v>2.0244410000000001E-3</v>
      </c>
      <c r="J143">
        <f t="shared" si="4"/>
        <v>1.1190207122566835</v>
      </c>
      <c r="K143">
        <f t="shared" si="5"/>
        <v>0.74564814011185931</v>
      </c>
      <c r="L143">
        <v>11</v>
      </c>
      <c r="M143" t="s">
        <v>154</v>
      </c>
      <c r="N143">
        <v>4.265E-2</v>
      </c>
      <c r="O143">
        <v>5.8209999999999998E-2</v>
      </c>
      <c r="P143">
        <v>0.12739</v>
      </c>
      <c r="Q143">
        <v>9.4570000000000001E-2</v>
      </c>
      <c r="R143">
        <v>3.4399999999999999E-3</v>
      </c>
      <c r="X143">
        <v>1.17E-2</v>
      </c>
      <c r="Y143">
        <v>2.31E-3</v>
      </c>
      <c r="AA143">
        <v>2.1099999999999999E-3</v>
      </c>
      <c r="AB143">
        <v>1.58E-3</v>
      </c>
      <c r="AE143">
        <v>1.274E-2</v>
      </c>
      <c r="AF143">
        <v>8.5589999999999999E-2</v>
      </c>
    </row>
    <row r="144" spans="1:33" x14ac:dyDescent="0.2">
      <c r="A144">
        <v>143</v>
      </c>
      <c r="B144" t="s">
        <v>303</v>
      </c>
      <c r="C144" t="s">
        <v>304</v>
      </c>
      <c r="D144" t="s">
        <v>305</v>
      </c>
      <c r="E144" t="s">
        <v>230</v>
      </c>
      <c r="F144" t="s">
        <v>231</v>
      </c>
      <c r="G144" t="s">
        <v>312</v>
      </c>
      <c r="H144">
        <v>7.7632726999999999E-2</v>
      </c>
      <c r="I144">
        <v>1.9445317E-2</v>
      </c>
      <c r="J144">
        <f t="shared" si="4"/>
        <v>1.7962330040354</v>
      </c>
      <c r="K144">
        <f t="shared" si="5"/>
        <v>0.87372477329080522</v>
      </c>
      <c r="L144">
        <v>11</v>
      </c>
      <c r="M144" t="s">
        <v>154</v>
      </c>
      <c r="N144">
        <v>8.7500000000000008E-3</v>
      </c>
      <c r="P144">
        <v>6.4700000000000001E-3</v>
      </c>
      <c r="Q144">
        <v>8.5100000000000002E-3</v>
      </c>
      <c r="R144">
        <v>3.2640000000000002E-2</v>
      </c>
      <c r="S144">
        <v>5.4969999999999998E-2</v>
      </c>
      <c r="X144">
        <v>1.1999999999999999E-3</v>
      </c>
      <c r="Z144">
        <v>1.08E-3</v>
      </c>
      <c r="AB144">
        <v>4.7400000000000003E-3</v>
      </c>
      <c r="AE144">
        <v>0.36731000000000003</v>
      </c>
      <c r="AF144">
        <v>0.34802</v>
      </c>
      <c r="AG144">
        <v>2.027E-2</v>
      </c>
    </row>
    <row r="145" spans="1:113" x14ac:dyDescent="0.2">
      <c r="A145">
        <v>144</v>
      </c>
      <c r="B145" t="s">
        <v>303</v>
      </c>
      <c r="C145" t="s">
        <v>304</v>
      </c>
      <c r="D145" t="s">
        <v>305</v>
      </c>
      <c r="E145" t="s">
        <v>230</v>
      </c>
      <c r="F145" t="s">
        <v>231</v>
      </c>
      <c r="G145" t="s">
        <v>313</v>
      </c>
      <c r="H145">
        <v>2.9009090000000001E-3</v>
      </c>
      <c r="I145" s="1">
        <v>6.5874699999999996E-6</v>
      </c>
      <c r="J145">
        <f t="shared" si="4"/>
        <v>0.8847594699648994</v>
      </c>
      <c r="K145">
        <f t="shared" si="5"/>
        <v>0.66263441806313395</v>
      </c>
      <c r="L145">
        <v>11</v>
      </c>
      <c r="M145" t="s">
        <v>154</v>
      </c>
      <c r="N145">
        <v>1.1199999999999999E-3</v>
      </c>
      <c r="O145">
        <v>5.47E-3</v>
      </c>
      <c r="R145">
        <v>3.6800000000000001E-3</v>
      </c>
      <c r="S145">
        <v>3.48E-3</v>
      </c>
      <c r="X145">
        <v>2.9999999999999997E-4</v>
      </c>
      <c r="Y145">
        <v>1.8500000000000001E-3</v>
      </c>
      <c r="Z145">
        <v>1.4999999999999999E-4</v>
      </c>
      <c r="AB145">
        <v>1.58E-3</v>
      </c>
      <c r="AC145">
        <v>3.32E-3</v>
      </c>
      <c r="AE145">
        <v>1.98E-3</v>
      </c>
      <c r="AG145">
        <v>8.9800000000000001E-3</v>
      </c>
    </row>
    <row r="146" spans="1:113" x14ac:dyDescent="0.2">
      <c r="A146">
        <v>145</v>
      </c>
      <c r="B146" t="s">
        <v>303</v>
      </c>
      <c r="C146" t="s">
        <v>304</v>
      </c>
      <c r="D146" t="s">
        <v>305</v>
      </c>
      <c r="E146" t="s">
        <v>230</v>
      </c>
      <c r="F146" t="s">
        <v>231</v>
      </c>
      <c r="G146" t="s">
        <v>314</v>
      </c>
      <c r="H146">
        <v>0.215588</v>
      </c>
      <c r="I146">
        <v>3.6840248999999999E-2</v>
      </c>
      <c r="J146">
        <f t="shared" si="4"/>
        <v>0.89030065899655009</v>
      </c>
      <c r="K146">
        <f t="shared" si="5"/>
        <v>0.66495265928310254</v>
      </c>
      <c r="L146">
        <v>10</v>
      </c>
      <c r="M146" t="s">
        <v>154</v>
      </c>
      <c r="R146">
        <v>4.1230000000000003E-2</v>
      </c>
      <c r="S146">
        <v>1.6420000000000001E-2</v>
      </c>
      <c r="T146">
        <v>0.37165999999999999</v>
      </c>
      <c r="U146">
        <v>0.38179000000000002</v>
      </c>
      <c r="V146">
        <v>0.44546999999999998</v>
      </c>
      <c r="W146">
        <v>9.9890000000000007E-2</v>
      </c>
      <c r="AC146">
        <v>0.47776000000000002</v>
      </c>
      <c r="AD146">
        <v>2.9229999999999999E-2</v>
      </c>
      <c r="AG146">
        <v>2.3349999999999999E-2</v>
      </c>
      <c r="AH146">
        <v>0.26907999999999999</v>
      </c>
    </row>
    <row r="147" spans="1:113" x14ac:dyDescent="0.2">
      <c r="A147">
        <v>146</v>
      </c>
      <c r="B147" t="s">
        <v>303</v>
      </c>
      <c r="C147" t="s">
        <v>304</v>
      </c>
      <c r="D147" t="s">
        <v>305</v>
      </c>
      <c r="E147" t="s">
        <v>230</v>
      </c>
      <c r="F147" t="s">
        <v>231</v>
      </c>
      <c r="G147" t="s">
        <v>315</v>
      </c>
      <c r="H147">
        <v>1.2730999999999999E-2</v>
      </c>
      <c r="I147">
        <v>2.8416900000000002E-4</v>
      </c>
      <c r="J147">
        <f t="shared" si="4"/>
        <v>1.324115383955462</v>
      </c>
      <c r="K147">
        <f t="shared" si="5"/>
        <v>0.79799564106192367</v>
      </c>
      <c r="L147">
        <v>10</v>
      </c>
      <c r="M147" t="s">
        <v>154</v>
      </c>
      <c r="Q147">
        <v>2.3E-3</v>
      </c>
      <c r="R147">
        <v>1.72E-3</v>
      </c>
      <c r="S147">
        <v>4.5519999999999998E-2</v>
      </c>
      <c r="T147">
        <v>2.188E-2</v>
      </c>
      <c r="U147">
        <v>9.5399999999999999E-3</v>
      </c>
      <c r="V147">
        <v>1.8E-3</v>
      </c>
      <c r="AC147">
        <v>3.884E-2</v>
      </c>
      <c r="AD147">
        <v>1.8500000000000001E-3</v>
      </c>
      <c r="AG147">
        <v>2.5999999999999998E-4</v>
      </c>
      <c r="AH147">
        <v>3.5999999999999999E-3</v>
      </c>
    </row>
    <row r="148" spans="1:113" x14ac:dyDescent="0.2">
      <c r="A148">
        <v>147</v>
      </c>
      <c r="B148" t="s">
        <v>303</v>
      </c>
      <c r="C148" t="s">
        <v>304</v>
      </c>
      <c r="D148" t="s">
        <v>305</v>
      </c>
      <c r="E148" t="s">
        <v>230</v>
      </c>
      <c r="F148" t="s">
        <v>231</v>
      </c>
      <c r="G148" t="s">
        <v>316</v>
      </c>
      <c r="H148">
        <v>3.6172000000000003E-2</v>
      </c>
      <c r="I148">
        <v>3.7855480000000001E-3</v>
      </c>
      <c r="J148">
        <f t="shared" si="4"/>
        <v>1.7009512099319217</v>
      </c>
      <c r="K148">
        <f t="shared" si="5"/>
        <v>0.86205811798757992</v>
      </c>
      <c r="L148">
        <v>10</v>
      </c>
      <c r="M148" t="s">
        <v>154</v>
      </c>
      <c r="N148">
        <v>2.2000000000000001E-4</v>
      </c>
      <c r="Q148">
        <v>7.3600000000000002E-3</v>
      </c>
      <c r="R148">
        <v>3.952E-2</v>
      </c>
      <c r="S148">
        <v>4.5269999999999998E-2</v>
      </c>
      <c r="T148">
        <v>2.7490000000000001E-2</v>
      </c>
      <c r="AC148">
        <v>5.8399999999999997E-3</v>
      </c>
      <c r="AD148">
        <v>0.20552000000000001</v>
      </c>
      <c r="AE148">
        <v>1.388E-2</v>
      </c>
      <c r="AF148">
        <v>1.636E-2</v>
      </c>
      <c r="AG148">
        <v>2.5999999999999998E-4</v>
      </c>
    </row>
    <row r="149" spans="1:113" x14ac:dyDescent="0.2">
      <c r="A149">
        <v>148</v>
      </c>
      <c r="B149" t="s">
        <v>303</v>
      </c>
      <c r="C149" t="s">
        <v>304</v>
      </c>
      <c r="D149" t="s">
        <v>305</v>
      </c>
      <c r="E149" t="s">
        <v>230</v>
      </c>
      <c r="F149" t="s">
        <v>231</v>
      </c>
      <c r="G149" t="s">
        <v>317</v>
      </c>
      <c r="H149">
        <v>2.1114285709999998</v>
      </c>
      <c r="I149">
        <v>7.5981928569999999</v>
      </c>
      <c r="J149">
        <f t="shared" si="4"/>
        <v>1.3055056699335152</v>
      </c>
      <c r="K149">
        <f t="shared" si="5"/>
        <v>0.79386692926433677</v>
      </c>
      <c r="L149">
        <v>21</v>
      </c>
      <c r="M149" t="s">
        <v>154</v>
      </c>
      <c r="N149">
        <v>1.57</v>
      </c>
      <c r="O149">
        <v>0.46</v>
      </c>
      <c r="P149">
        <v>2.61</v>
      </c>
      <c r="Q149">
        <v>2.5099999999999998</v>
      </c>
      <c r="R149">
        <v>2.02</v>
      </c>
      <c r="S149">
        <v>1.44</v>
      </c>
      <c r="T149">
        <v>1.19</v>
      </c>
      <c r="U149">
        <v>1.05</v>
      </c>
      <c r="V149">
        <v>0.56000000000000005</v>
      </c>
      <c r="W149">
        <v>0.28000000000000003</v>
      </c>
      <c r="X149">
        <v>8.36</v>
      </c>
      <c r="Y149">
        <v>10.42</v>
      </c>
      <c r="Z149">
        <v>0.1</v>
      </c>
      <c r="AA149">
        <v>0.05</v>
      </c>
      <c r="AB149">
        <v>0.11</v>
      </c>
      <c r="AC149">
        <v>2.4900000000000002</v>
      </c>
      <c r="AD149">
        <v>0.55000000000000004</v>
      </c>
      <c r="AE149">
        <v>2</v>
      </c>
      <c r="AF149">
        <v>5.59</v>
      </c>
      <c r="AG149">
        <v>0.42</v>
      </c>
      <c r="AH149">
        <v>0.56000000000000005</v>
      </c>
    </row>
    <row r="150" spans="1:113" x14ac:dyDescent="0.2">
      <c r="A150">
        <v>149</v>
      </c>
      <c r="B150" t="s">
        <v>318</v>
      </c>
      <c r="C150" t="s">
        <v>319</v>
      </c>
      <c r="D150" t="s">
        <v>320</v>
      </c>
      <c r="E150" t="s">
        <v>230</v>
      </c>
      <c r="F150" t="s">
        <v>240</v>
      </c>
      <c r="G150" t="s">
        <v>321</v>
      </c>
      <c r="H150">
        <v>9.8504761900000002</v>
      </c>
      <c r="I150">
        <v>115.3006548</v>
      </c>
      <c r="J150">
        <f t="shared" si="4"/>
        <v>1.0900807270370916</v>
      </c>
      <c r="K150">
        <f t="shared" si="5"/>
        <v>0.73689839986860695</v>
      </c>
      <c r="L150">
        <v>21</v>
      </c>
      <c r="M150" t="s">
        <v>154</v>
      </c>
      <c r="N150">
        <v>2</v>
      </c>
      <c r="O150">
        <v>8</v>
      </c>
      <c r="P150">
        <v>2</v>
      </c>
      <c r="Q150">
        <v>1</v>
      </c>
      <c r="R150">
        <v>2</v>
      </c>
      <c r="S150">
        <v>4</v>
      </c>
      <c r="T150">
        <v>2</v>
      </c>
      <c r="U150">
        <v>14</v>
      </c>
      <c r="V150">
        <v>44</v>
      </c>
      <c r="Y150">
        <v>10</v>
      </c>
      <c r="Z150">
        <v>15</v>
      </c>
      <c r="AA150">
        <v>1</v>
      </c>
      <c r="AB150">
        <v>14</v>
      </c>
      <c r="AC150">
        <v>3</v>
      </c>
      <c r="AD150">
        <v>18</v>
      </c>
      <c r="AE150">
        <v>9</v>
      </c>
      <c r="AF150">
        <v>1</v>
      </c>
      <c r="AG150">
        <v>1</v>
      </c>
      <c r="AH150">
        <v>26</v>
      </c>
      <c r="AI150">
        <v>10</v>
      </c>
      <c r="AJ150">
        <v>19</v>
      </c>
    </row>
    <row r="151" spans="1:113" x14ac:dyDescent="0.2">
      <c r="A151">
        <v>150</v>
      </c>
      <c r="B151" t="s">
        <v>322</v>
      </c>
      <c r="C151" t="s">
        <v>323</v>
      </c>
      <c r="D151" t="s">
        <v>320</v>
      </c>
      <c r="E151" t="s">
        <v>230</v>
      </c>
      <c r="F151" t="s">
        <v>240</v>
      </c>
      <c r="G151" t="s">
        <v>324</v>
      </c>
      <c r="H151">
        <v>18.18</v>
      </c>
      <c r="I151">
        <v>201.84561210000001</v>
      </c>
      <c r="J151">
        <f t="shared" si="4"/>
        <v>0.781476238613659</v>
      </c>
      <c r="K151">
        <f t="shared" si="5"/>
        <v>0.61575473344913179</v>
      </c>
      <c r="L151">
        <v>100</v>
      </c>
      <c r="M151" t="s">
        <v>154</v>
      </c>
      <c r="N151">
        <v>8</v>
      </c>
      <c r="O151">
        <v>6</v>
      </c>
      <c r="P151">
        <v>6</v>
      </c>
      <c r="Q151">
        <v>17</v>
      </c>
      <c r="R151">
        <v>21</v>
      </c>
      <c r="S151">
        <v>14</v>
      </c>
      <c r="T151">
        <v>18</v>
      </c>
      <c r="U151">
        <v>21</v>
      </c>
      <c r="V151">
        <v>4</v>
      </c>
      <c r="W151">
        <v>15</v>
      </c>
      <c r="X151">
        <v>0</v>
      </c>
      <c r="Y151">
        <v>18</v>
      </c>
      <c r="Z151">
        <v>9</v>
      </c>
      <c r="AA151">
        <v>17</v>
      </c>
      <c r="AB151">
        <v>10</v>
      </c>
      <c r="AC151">
        <v>15</v>
      </c>
      <c r="AD151">
        <v>36</v>
      </c>
      <c r="AE151">
        <v>6</v>
      </c>
      <c r="AF151">
        <v>22</v>
      </c>
      <c r="AG151">
        <v>13</v>
      </c>
      <c r="AH151">
        <v>9</v>
      </c>
      <c r="AI151">
        <v>16</v>
      </c>
      <c r="AJ151">
        <v>12</v>
      </c>
      <c r="AK151">
        <v>8</v>
      </c>
      <c r="AL151">
        <v>52</v>
      </c>
      <c r="AM151">
        <v>12</v>
      </c>
      <c r="AN151">
        <v>4</v>
      </c>
      <c r="AO151">
        <v>10</v>
      </c>
      <c r="AP151">
        <v>3</v>
      </c>
      <c r="AQ151">
        <v>16</v>
      </c>
      <c r="AR151">
        <v>10</v>
      </c>
      <c r="AS151">
        <v>16</v>
      </c>
      <c r="AT151">
        <v>14</v>
      </c>
      <c r="AU151">
        <v>1</v>
      </c>
      <c r="AV151">
        <v>8</v>
      </c>
      <c r="AW151">
        <v>18</v>
      </c>
      <c r="AX151">
        <v>28</v>
      </c>
      <c r="AY151">
        <v>5</v>
      </c>
      <c r="AZ151">
        <v>18</v>
      </c>
      <c r="BA151">
        <v>5</v>
      </c>
      <c r="BB151">
        <v>7</v>
      </c>
      <c r="BC151">
        <v>16</v>
      </c>
      <c r="BD151">
        <v>21</v>
      </c>
      <c r="BE151">
        <v>22</v>
      </c>
      <c r="BF151">
        <v>47</v>
      </c>
      <c r="BG151">
        <v>60</v>
      </c>
      <c r="BH151">
        <v>31</v>
      </c>
      <c r="BI151">
        <v>2</v>
      </c>
      <c r="BJ151">
        <v>23</v>
      </c>
      <c r="BK151">
        <v>13</v>
      </c>
      <c r="BL151">
        <v>21</v>
      </c>
      <c r="BM151">
        <v>8</v>
      </c>
      <c r="BN151">
        <v>5</v>
      </c>
      <c r="BO151">
        <v>9</v>
      </c>
      <c r="BP151">
        <v>10</v>
      </c>
      <c r="BQ151">
        <v>60</v>
      </c>
      <c r="BR151">
        <v>13</v>
      </c>
      <c r="BS151">
        <v>24</v>
      </c>
      <c r="BT151">
        <v>8</v>
      </c>
      <c r="BU151">
        <v>36</v>
      </c>
      <c r="BV151">
        <v>8</v>
      </c>
      <c r="BW151">
        <v>17</v>
      </c>
      <c r="BX151">
        <v>38</v>
      </c>
      <c r="BY151">
        <v>5</v>
      </c>
      <c r="BZ151">
        <v>14</v>
      </c>
      <c r="CA151">
        <v>4</v>
      </c>
      <c r="CB151">
        <v>48</v>
      </c>
      <c r="CC151">
        <v>30</v>
      </c>
      <c r="CD151">
        <v>42</v>
      </c>
      <c r="CE151">
        <v>31</v>
      </c>
      <c r="CF151">
        <v>16</v>
      </c>
      <c r="CG151">
        <v>26</v>
      </c>
      <c r="CH151">
        <v>2</v>
      </c>
      <c r="CI151">
        <v>3</v>
      </c>
      <c r="CJ151">
        <v>21</v>
      </c>
      <c r="CK151">
        <v>8</v>
      </c>
      <c r="CL151">
        <v>13</v>
      </c>
      <c r="CM151">
        <v>31</v>
      </c>
      <c r="CN151">
        <v>4</v>
      </c>
      <c r="CO151">
        <v>13</v>
      </c>
      <c r="CP151">
        <v>4</v>
      </c>
      <c r="CQ151">
        <v>6</v>
      </c>
      <c r="CR151">
        <v>18</v>
      </c>
      <c r="CS151">
        <v>35</v>
      </c>
      <c r="CT151">
        <v>25</v>
      </c>
      <c r="CU151">
        <v>7</v>
      </c>
      <c r="CV151">
        <v>15</v>
      </c>
      <c r="CW151">
        <v>26</v>
      </c>
      <c r="CX151">
        <v>12</v>
      </c>
      <c r="CY151">
        <v>29</v>
      </c>
      <c r="CZ151">
        <v>30</v>
      </c>
      <c r="DA151">
        <v>17</v>
      </c>
      <c r="DB151">
        <v>34</v>
      </c>
      <c r="DC151">
        <v>23</v>
      </c>
      <c r="DD151">
        <v>29</v>
      </c>
      <c r="DE151">
        <v>78</v>
      </c>
      <c r="DF151">
        <v>9</v>
      </c>
      <c r="DG151">
        <v>7</v>
      </c>
      <c r="DH151">
        <v>32</v>
      </c>
      <c r="DI151">
        <v>36</v>
      </c>
    </row>
    <row r="152" spans="1:113" x14ac:dyDescent="0.2">
      <c r="A152">
        <v>151</v>
      </c>
      <c r="B152" t="s">
        <v>325</v>
      </c>
      <c r="C152" t="s">
        <v>326</v>
      </c>
      <c r="D152" t="s">
        <v>320</v>
      </c>
      <c r="E152" t="s">
        <v>230</v>
      </c>
      <c r="F152" t="s">
        <v>240</v>
      </c>
      <c r="G152" t="s">
        <v>327</v>
      </c>
      <c r="H152">
        <v>2.9980000000000002</v>
      </c>
      <c r="I152">
        <v>5.6086848480000002</v>
      </c>
      <c r="J152">
        <f t="shared" si="4"/>
        <v>0.78994870293114161</v>
      </c>
      <c r="K152">
        <f t="shared" si="5"/>
        <v>0.61987389001884041</v>
      </c>
      <c r="L152">
        <v>100</v>
      </c>
      <c r="M152" t="s">
        <v>154</v>
      </c>
      <c r="N152">
        <v>2</v>
      </c>
      <c r="O152">
        <v>6</v>
      </c>
      <c r="P152">
        <v>3</v>
      </c>
      <c r="Q152">
        <v>2</v>
      </c>
      <c r="R152">
        <v>2</v>
      </c>
      <c r="S152">
        <v>0</v>
      </c>
      <c r="T152">
        <v>1</v>
      </c>
      <c r="U152">
        <v>2</v>
      </c>
      <c r="V152">
        <v>8</v>
      </c>
      <c r="W152">
        <v>1</v>
      </c>
      <c r="X152">
        <v>3</v>
      </c>
      <c r="Y152">
        <v>2</v>
      </c>
      <c r="Z152">
        <v>8</v>
      </c>
      <c r="AA152">
        <v>6</v>
      </c>
      <c r="AB152">
        <v>6</v>
      </c>
      <c r="AC152">
        <v>4</v>
      </c>
      <c r="AD152">
        <v>3</v>
      </c>
      <c r="AE152">
        <v>6</v>
      </c>
      <c r="AF152">
        <v>3</v>
      </c>
      <c r="AG152">
        <v>5</v>
      </c>
      <c r="AH152">
        <v>3</v>
      </c>
      <c r="AI152">
        <v>1</v>
      </c>
      <c r="AJ152">
        <v>1</v>
      </c>
      <c r="AK152">
        <v>7</v>
      </c>
      <c r="AL152">
        <v>1</v>
      </c>
      <c r="AM152">
        <v>4</v>
      </c>
      <c r="AN152">
        <v>2</v>
      </c>
      <c r="AO152">
        <v>2</v>
      </c>
      <c r="AP152">
        <v>0</v>
      </c>
      <c r="AQ152">
        <v>2</v>
      </c>
      <c r="AR152">
        <v>3</v>
      </c>
      <c r="AS152">
        <v>1</v>
      </c>
      <c r="AT152">
        <v>3</v>
      </c>
      <c r="AU152">
        <v>1</v>
      </c>
      <c r="AV152">
        <v>2</v>
      </c>
      <c r="AW152">
        <v>5</v>
      </c>
      <c r="AX152">
        <v>8</v>
      </c>
      <c r="AY152">
        <v>3</v>
      </c>
      <c r="AZ152">
        <v>1</v>
      </c>
      <c r="BA152">
        <v>5</v>
      </c>
      <c r="BB152">
        <v>5</v>
      </c>
      <c r="BC152">
        <v>2</v>
      </c>
      <c r="BD152">
        <v>7</v>
      </c>
      <c r="BE152">
        <v>4</v>
      </c>
      <c r="BF152">
        <v>1</v>
      </c>
      <c r="BG152">
        <v>2</v>
      </c>
      <c r="BH152">
        <v>4</v>
      </c>
      <c r="BI152">
        <v>4</v>
      </c>
      <c r="BJ152">
        <v>2</v>
      </c>
      <c r="BK152">
        <v>3</v>
      </c>
      <c r="BL152">
        <v>10</v>
      </c>
      <c r="BM152">
        <v>3</v>
      </c>
      <c r="BN152">
        <v>5</v>
      </c>
      <c r="BO152">
        <v>2</v>
      </c>
      <c r="BP152">
        <v>3</v>
      </c>
      <c r="BQ152">
        <v>3</v>
      </c>
      <c r="BR152">
        <v>5</v>
      </c>
      <c r="BS152">
        <v>3</v>
      </c>
      <c r="BT152">
        <v>3</v>
      </c>
      <c r="BU152">
        <v>3</v>
      </c>
      <c r="BV152">
        <v>10</v>
      </c>
      <c r="BW152">
        <v>6</v>
      </c>
      <c r="BX152">
        <v>0</v>
      </c>
      <c r="BY152">
        <v>10</v>
      </c>
      <c r="BZ152">
        <v>5</v>
      </c>
      <c r="CA152">
        <v>2</v>
      </c>
      <c r="CB152">
        <v>5</v>
      </c>
      <c r="CC152">
        <v>1</v>
      </c>
      <c r="CD152">
        <v>8</v>
      </c>
      <c r="CE152">
        <v>1</v>
      </c>
      <c r="CF152">
        <v>3</v>
      </c>
      <c r="CG152">
        <v>1</v>
      </c>
      <c r="CH152">
        <v>5</v>
      </c>
      <c r="CI152">
        <v>1</v>
      </c>
      <c r="CJ152">
        <v>2</v>
      </c>
      <c r="CK152">
        <v>1</v>
      </c>
      <c r="CL152">
        <v>2</v>
      </c>
      <c r="CM152">
        <v>1</v>
      </c>
      <c r="CN152">
        <v>1</v>
      </c>
      <c r="CO152">
        <v>4</v>
      </c>
      <c r="CP152">
        <v>4</v>
      </c>
      <c r="CQ152">
        <v>1</v>
      </c>
      <c r="CR152">
        <v>2</v>
      </c>
      <c r="CS152">
        <v>1</v>
      </c>
      <c r="CT152">
        <v>0</v>
      </c>
      <c r="CU152">
        <v>2</v>
      </c>
      <c r="CV152">
        <v>1</v>
      </c>
      <c r="CW152">
        <v>1</v>
      </c>
      <c r="CX152">
        <v>1</v>
      </c>
      <c r="CY152">
        <v>2</v>
      </c>
      <c r="CZ152">
        <v>1</v>
      </c>
      <c r="DA152">
        <v>2</v>
      </c>
      <c r="DB152">
        <v>5</v>
      </c>
      <c r="DC152">
        <v>0</v>
      </c>
      <c r="DD152">
        <v>0</v>
      </c>
      <c r="DE152">
        <v>3</v>
      </c>
      <c r="DF152">
        <v>1</v>
      </c>
      <c r="DG152">
        <v>1</v>
      </c>
      <c r="DH152">
        <v>2</v>
      </c>
      <c r="DI152">
        <v>1</v>
      </c>
    </row>
    <row r="153" spans="1:113" x14ac:dyDescent="0.2">
      <c r="A153">
        <v>152</v>
      </c>
      <c r="B153" t="s">
        <v>328</v>
      </c>
      <c r="C153" t="s">
        <v>329</v>
      </c>
      <c r="D153" t="s">
        <v>330</v>
      </c>
      <c r="E153" t="s">
        <v>230</v>
      </c>
      <c r="F153" t="s">
        <v>240</v>
      </c>
      <c r="G153" t="s">
        <v>331</v>
      </c>
      <c r="H153">
        <v>0.17030124999999999</v>
      </c>
      <c r="I153">
        <v>0.22799977399999999</v>
      </c>
      <c r="J153">
        <f t="shared" si="4"/>
        <v>2.8038151146865693</v>
      </c>
      <c r="K153">
        <f t="shared" si="5"/>
        <v>0.94188680296103489</v>
      </c>
      <c r="L153">
        <v>32</v>
      </c>
      <c r="M153" t="s">
        <v>154</v>
      </c>
      <c r="O153">
        <v>1.6920000000000001E-2</v>
      </c>
      <c r="P153">
        <v>9.2599999999999991E-3</v>
      </c>
      <c r="R153">
        <v>4.7759999999999997E-2</v>
      </c>
      <c r="S153">
        <v>7.3200000000000001E-2</v>
      </c>
      <c r="V153">
        <v>6.0789999999999997E-2</v>
      </c>
      <c r="W153">
        <v>2.6740300000000001</v>
      </c>
      <c r="Z153">
        <v>5.645E-2</v>
      </c>
      <c r="AA153">
        <v>8.2970000000000002E-2</v>
      </c>
      <c r="AD153">
        <v>1.737E-2</v>
      </c>
      <c r="AE153">
        <v>0.10457</v>
      </c>
      <c r="AJ153">
        <v>2.7130000000000001E-2</v>
      </c>
      <c r="AK153">
        <v>1.41E-2</v>
      </c>
      <c r="AO153">
        <v>1.366E-2</v>
      </c>
      <c r="AP153">
        <v>6.5229999999999996E-2</v>
      </c>
      <c r="AT153">
        <v>3.3919999999999999E-2</v>
      </c>
      <c r="AU153">
        <v>0.67</v>
      </c>
      <c r="AV153">
        <v>0.19708999999999999</v>
      </c>
      <c r="AX153">
        <v>1.9359999999999999E-2</v>
      </c>
      <c r="AY153">
        <v>3.261E-2</v>
      </c>
      <c r="AZ153">
        <v>9.1749999999999998E-2</v>
      </c>
      <c r="BB153">
        <v>3.261E-2</v>
      </c>
      <c r="BE153">
        <v>0.12157</v>
      </c>
      <c r="BH153">
        <v>1.2999999999999999E-4</v>
      </c>
      <c r="BI153">
        <v>1.2E-4</v>
      </c>
      <c r="BQ153">
        <v>9.7839999999999996E-2</v>
      </c>
      <c r="BU153">
        <v>6.5229999999999996E-2</v>
      </c>
      <c r="BW153">
        <v>0.10358000000000001</v>
      </c>
      <c r="BX153">
        <v>0.42653999999999997</v>
      </c>
      <c r="BY153">
        <v>0.29353000000000001</v>
      </c>
      <c r="CG153">
        <v>1.2E-4</v>
      </c>
      <c r="CH153">
        <v>8.0000000000000007E-5</v>
      </c>
      <c r="CK153">
        <v>1.2E-4</v>
      </c>
    </row>
    <row r="154" spans="1:113" x14ac:dyDescent="0.2">
      <c r="A154">
        <v>153</v>
      </c>
      <c r="B154" t="s">
        <v>328</v>
      </c>
      <c r="C154" t="s">
        <v>329</v>
      </c>
      <c r="D154" t="s">
        <v>330</v>
      </c>
      <c r="E154" t="s">
        <v>230</v>
      </c>
      <c r="F154" t="s">
        <v>240</v>
      </c>
      <c r="G154" t="s">
        <v>332</v>
      </c>
      <c r="H154">
        <v>0.63232396599999996</v>
      </c>
      <c r="I154">
        <v>1.108393859</v>
      </c>
      <c r="J154">
        <f t="shared" si="4"/>
        <v>1.6649738348898013</v>
      </c>
      <c r="K154">
        <f t="shared" si="5"/>
        <v>0.8572621203575127</v>
      </c>
      <c r="L154">
        <v>58</v>
      </c>
      <c r="M154" t="s">
        <v>154</v>
      </c>
      <c r="O154">
        <v>1.2999999999999999E-4</v>
      </c>
      <c r="R154">
        <v>0.11960999999999999</v>
      </c>
      <c r="V154">
        <v>0.11960999999999999</v>
      </c>
      <c r="Z154">
        <v>0.41865000000000002</v>
      </c>
      <c r="AD154">
        <v>0.47846</v>
      </c>
      <c r="AI154">
        <v>1.6899999999999998E-2</v>
      </c>
      <c r="AJ154">
        <v>1.8700000000000001E-2</v>
      </c>
      <c r="AK154">
        <v>0.10874</v>
      </c>
      <c r="AN154">
        <v>0.71557000000000004</v>
      </c>
      <c r="AO154">
        <v>1.24604</v>
      </c>
      <c r="AP154">
        <v>4.1149999999999999E-2</v>
      </c>
      <c r="AQ154">
        <v>2.8060000000000002E-2</v>
      </c>
      <c r="AR154">
        <v>1.2670000000000001E-2</v>
      </c>
      <c r="AS154">
        <v>1.1220000000000001E-2</v>
      </c>
      <c r="AT154">
        <v>9.8220000000000002E-2</v>
      </c>
      <c r="AU154">
        <v>0.38436999999999999</v>
      </c>
      <c r="AV154">
        <v>0.18329000000000001</v>
      </c>
      <c r="AW154">
        <v>0.44196999999999997</v>
      </c>
      <c r="AX154">
        <v>9.2929999999999999E-2</v>
      </c>
      <c r="AY154">
        <v>3.7409999999999999E-2</v>
      </c>
      <c r="AZ154">
        <v>3.5848900000000001</v>
      </c>
      <c r="BA154">
        <v>5.0689999999999999E-2</v>
      </c>
      <c r="BB154">
        <v>1.4701</v>
      </c>
      <c r="BC154">
        <v>0.42470999999999998</v>
      </c>
      <c r="BD154">
        <v>0.11391999999999999</v>
      </c>
      <c r="BE154">
        <v>0.48958000000000002</v>
      </c>
      <c r="BG154">
        <v>7.4069999999999997E-2</v>
      </c>
      <c r="BH154">
        <v>2.0310000000000002E-2</v>
      </c>
      <c r="BI154">
        <v>7.664E-2</v>
      </c>
      <c r="BJ154">
        <v>5.3780000000000001E-2</v>
      </c>
      <c r="BK154">
        <v>0.38207000000000002</v>
      </c>
      <c r="BL154">
        <v>8.3839999999999998E-2</v>
      </c>
      <c r="BM154">
        <v>1.0081100000000001</v>
      </c>
      <c r="BN154">
        <v>0.16214999999999999</v>
      </c>
      <c r="BO154">
        <v>4.9070000000000003E-2</v>
      </c>
      <c r="BP154">
        <v>8.3400000000000002E-3</v>
      </c>
      <c r="BQ154">
        <v>2.3199999999999998E-2</v>
      </c>
      <c r="BR154">
        <v>3.8519999999999999E-2</v>
      </c>
      <c r="BS154">
        <v>7.9699999999999997E-3</v>
      </c>
      <c r="BT154">
        <v>8.8730000000000003E-2</v>
      </c>
      <c r="BU154">
        <v>3.8870000000000002E-2</v>
      </c>
      <c r="BV154">
        <v>3.6380000000000003E-2</v>
      </c>
      <c r="BW154">
        <v>2.9756</v>
      </c>
      <c r="BX154">
        <v>4.7847799999999996</v>
      </c>
      <c r="BY154">
        <v>3.7770999999999999</v>
      </c>
      <c r="BZ154">
        <v>1.2724599999999999</v>
      </c>
      <c r="CA154">
        <v>0.66820000000000002</v>
      </c>
      <c r="CB154">
        <v>1.92736</v>
      </c>
      <c r="CC154">
        <v>1.49847</v>
      </c>
      <c r="CD154">
        <v>0.79922000000000004</v>
      </c>
      <c r="CE154">
        <v>3.14819</v>
      </c>
      <c r="CF154">
        <v>1.2688299999999999</v>
      </c>
      <c r="CG154">
        <v>0.52164999999999995</v>
      </c>
      <c r="CH154">
        <v>0.28391</v>
      </c>
      <c r="CI154">
        <v>0.32690000000000002</v>
      </c>
      <c r="CJ154">
        <v>0.1636</v>
      </c>
      <c r="CK154">
        <v>0.29876000000000003</v>
      </c>
      <c r="CL154">
        <v>0.10012</v>
      </c>
    </row>
    <row r="155" spans="1:113" x14ac:dyDescent="0.2">
      <c r="A155">
        <v>154</v>
      </c>
      <c r="B155" t="s">
        <v>328</v>
      </c>
      <c r="C155" t="s">
        <v>329</v>
      </c>
      <c r="D155" t="s">
        <v>330</v>
      </c>
      <c r="E155" t="s">
        <v>230</v>
      </c>
      <c r="F155" t="s">
        <v>240</v>
      </c>
      <c r="G155" t="s">
        <v>333</v>
      </c>
      <c r="H155">
        <v>2.7201579E-2</v>
      </c>
      <c r="I155">
        <v>2.082577E-3</v>
      </c>
      <c r="J155">
        <f t="shared" si="4"/>
        <v>1.6776695385995006</v>
      </c>
      <c r="K155">
        <f t="shared" si="5"/>
        <v>0.85898056046106763</v>
      </c>
      <c r="L155">
        <v>19</v>
      </c>
      <c r="M155" t="s">
        <v>154</v>
      </c>
      <c r="O155">
        <v>6.4400000000000004E-3</v>
      </c>
      <c r="R155">
        <v>4.546E-2</v>
      </c>
      <c r="V155">
        <v>2.1000000000000001E-4</v>
      </c>
      <c r="W155">
        <v>0.18714</v>
      </c>
      <c r="Z155">
        <v>2.181E-2</v>
      </c>
      <c r="AA155">
        <v>4.4600000000000004E-3</v>
      </c>
      <c r="AC155">
        <v>3.5699999999999998E-3</v>
      </c>
      <c r="AD155">
        <v>9.0500000000000008E-3</v>
      </c>
      <c r="AH155">
        <v>3.7650000000000003E-2</v>
      </c>
      <c r="AI155">
        <v>1.907E-2</v>
      </c>
      <c r="AK155">
        <v>4.1099999999999999E-3</v>
      </c>
      <c r="AP155">
        <v>1.32E-3</v>
      </c>
      <c r="AR155">
        <v>8.6700000000000006E-3</v>
      </c>
      <c r="AU155">
        <v>1.5610000000000001E-2</v>
      </c>
      <c r="BE155">
        <v>8.5269999999999999E-2</v>
      </c>
      <c r="BQ155">
        <v>6.6600000000000006E-2</v>
      </c>
      <c r="BX155">
        <v>1.4999999999999999E-4</v>
      </c>
      <c r="CA155">
        <v>1.2E-4</v>
      </c>
      <c r="CC155">
        <v>1.2E-4</v>
      </c>
    </row>
    <row r="156" spans="1:113" x14ac:dyDescent="0.2">
      <c r="A156">
        <v>155</v>
      </c>
      <c r="B156" t="s">
        <v>328</v>
      </c>
      <c r="C156" t="s">
        <v>329</v>
      </c>
      <c r="D156" t="s">
        <v>330</v>
      </c>
      <c r="E156" t="s">
        <v>230</v>
      </c>
      <c r="F156" t="s">
        <v>240</v>
      </c>
      <c r="G156" t="s">
        <v>334</v>
      </c>
      <c r="H156">
        <v>2.0270000000000002E-3</v>
      </c>
      <c r="I156" s="1">
        <v>2.9711100000000001E-6</v>
      </c>
      <c r="J156">
        <f t="shared" si="4"/>
        <v>0.85036546992629991</v>
      </c>
      <c r="K156">
        <f t="shared" si="5"/>
        <v>0.6478100401750746</v>
      </c>
      <c r="L156">
        <v>10</v>
      </c>
      <c r="M156" t="s">
        <v>154</v>
      </c>
      <c r="O156">
        <v>8.4999999999999995E-4</v>
      </c>
      <c r="V156">
        <v>1.2099999999999999E-3</v>
      </c>
      <c r="W156">
        <v>6.0999999999999997E-4</v>
      </c>
      <c r="Z156">
        <v>4.2500000000000003E-3</v>
      </c>
      <c r="AD156">
        <v>1.6199999999999999E-3</v>
      </c>
      <c r="AE156">
        <v>4.3800000000000002E-3</v>
      </c>
      <c r="AU156">
        <v>3.7699999999999999E-3</v>
      </c>
      <c r="AV156">
        <v>3.3400000000000001E-3</v>
      </c>
      <c r="BI156">
        <v>1.2E-4</v>
      </c>
      <c r="BY156">
        <v>1.2E-4</v>
      </c>
    </row>
    <row r="157" spans="1:113" x14ac:dyDescent="0.2">
      <c r="A157">
        <v>156</v>
      </c>
      <c r="B157" t="s">
        <v>328</v>
      </c>
      <c r="C157" t="s">
        <v>329</v>
      </c>
      <c r="D157" t="s">
        <v>330</v>
      </c>
      <c r="E157" t="s">
        <v>230</v>
      </c>
      <c r="F157" t="s">
        <v>240</v>
      </c>
      <c r="G157" t="s">
        <v>335</v>
      </c>
      <c r="H157">
        <v>0.762333594</v>
      </c>
      <c r="I157">
        <v>2.8750288519999998</v>
      </c>
      <c r="J157">
        <f t="shared" si="4"/>
        <v>2.2242113126010419</v>
      </c>
      <c r="K157">
        <f t="shared" si="5"/>
        <v>0.91205880807526341</v>
      </c>
      <c r="L157">
        <v>64</v>
      </c>
      <c r="M157" t="s">
        <v>154</v>
      </c>
      <c r="N157">
        <v>0.11559999999999999</v>
      </c>
      <c r="O157">
        <v>0.72213000000000005</v>
      </c>
      <c r="P157">
        <v>0.71657000000000004</v>
      </c>
      <c r="Q157">
        <v>4.6980000000000001E-2</v>
      </c>
      <c r="R157">
        <v>2.1964600000000001</v>
      </c>
      <c r="T157">
        <v>0.79362999999999995</v>
      </c>
      <c r="U157">
        <v>2.0879999999999999E-2</v>
      </c>
      <c r="V157">
        <v>0.24565999999999999</v>
      </c>
      <c r="W157">
        <v>1.5834600000000001</v>
      </c>
      <c r="Z157">
        <v>0.27456000000000003</v>
      </c>
      <c r="AA157">
        <v>1.42686</v>
      </c>
      <c r="AB157">
        <v>0.13869000000000001</v>
      </c>
      <c r="AC157">
        <v>4.6980000000000001E-2</v>
      </c>
      <c r="AD157">
        <v>0.33235999999999999</v>
      </c>
      <c r="AE157">
        <v>2.7493099999999999</v>
      </c>
      <c r="AF157">
        <v>0.36984</v>
      </c>
      <c r="AG157">
        <v>2.0879999999999999E-2</v>
      </c>
      <c r="AH157">
        <v>7.2300000000000003E-3</v>
      </c>
      <c r="AI157">
        <v>0.81782999999999995</v>
      </c>
      <c r="AJ157">
        <v>0.60870000000000002</v>
      </c>
      <c r="AK157">
        <v>0.39016000000000001</v>
      </c>
      <c r="AL157">
        <v>0.19141</v>
      </c>
      <c r="AM157">
        <v>6.164E-2</v>
      </c>
      <c r="AN157">
        <v>1.9136599999999999</v>
      </c>
      <c r="AO157">
        <v>12.692920000000001</v>
      </c>
      <c r="AP157">
        <v>0.34672999999999998</v>
      </c>
      <c r="AR157">
        <v>2.4244599999999998</v>
      </c>
      <c r="AT157">
        <v>1.76139</v>
      </c>
      <c r="AU157">
        <v>2.5720800000000001</v>
      </c>
      <c r="AV157">
        <v>2.6820300000000001</v>
      </c>
      <c r="AW157">
        <v>0.41347</v>
      </c>
      <c r="AX157">
        <v>0.87243000000000004</v>
      </c>
      <c r="AY157">
        <v>0.64519000000000004</v>
      </c>
      <c r="AZ157">
        <v>1.08049</v>
      </c>
      <c r="BA157">
        <v>0.54086000000000001</v>
      </c>
      <c r="BB157">
        <v>1.00203</v>
      </c>
      <c r="BD157">
        <v>0.28688000000000002</v>
      </c>
      <c r="BE157">
        <v>0.15651000000000001</v>
      </c>
      <c r="BH157">
        <v>0.23993</v>
      </c>
      <c r="BI157">
        <v>0.89734999999999998</v>
      </c>
      <c r="BJ157">
        <v>0.16141</v>
      </c>
      <c r="BL157">
        <v>6.3659999999999994E-2</v>
      </c>
      <c r="BM157">
        <v>0.44172</v>
      </c>
      <c r="BN157">
        <v>2.5699999999999998E-3</v>
      </c>
      <c r="BO157">
        <v>7.11E-3</v>
      </c>
      <c r="BP157">
        <v>0.14945</v>
      </c>
      <c r="BQ157">
        <v>0.19681999999999999</v>
      </c>
      <c r="BR157">
        <v>2.017E-2</v>
      </c>
      <c r="BT157">
        <v>2.6370000000000001E-2</v>
      </c>
      <c r="BU157">
        <v>4.0349999999999997E-2</v>
      </c>
      <c r="BV157">
        <v>4.96E-3</v>
      </c>
      <c r="BW157">
        <v>2.844E-2</v>
      </c>
      <c r="BX157">
        <v>2.1905399999999999</v>
      </c>
      <c r="BY157">
        <v>0.70826999999999996</v>
      </c>
      <c r="BZ157">
        <v>4.7129999999999998E-2</v>
      </c>
      <c r="CA157">
        <v>1.103E-2</v>
      </c>
      <c r="CB157">
        <v>2.274E-2</v>
      </c>
      <c r="CC157">
        <v>5.2170000000000001E-2</v>
      </c>
      <c r="CE157">
        <v>1.839E-2</v>
      </c>
      <c r="CF157">
        <v>1.3639999999999999E-2</v>
      </c>
      <c r="CG157">
        <v>3.4779999999999998E-2</v>
      </c>
      <c r="CH157">
        <v>1.2800000000000001E-3</v>
      </c>
      <c r="CI157">
        <v>1.839E-2</v>
      </c>
      <c r="CK157">
        <v>0.12173</v>
      </c>
    </row>
    <row r="158" spans="1:113" x14ac:dyDescent="0.2">
      <c r="A158">
        <v>157</v>
      </c>
      <c r="B158" t="s">
        <v>328</v>
      </c>
      <c r="C158" t="s">
        <v>329</v>
      </c>
      <c r="D158" t="s">
        <v>330</v>
      </c>
      <c r="E158" t="s">
        <v>230</v>
      </c>
      <c r="F158" t="s">
        <v>240</v>
      </c>
      <c r="G158" t="s">
        <v>246</v>
      </c>
      <c r="H158">
        <v>3.0254317999999999E-2</v>
      </c>
      <c r="I158">
        <v>3.4376649999999999E-3</v>
      </c>
      <c r="J158">
        <f t="shared" si="4"/>
        <v>1.9379582149442511</v>
      </c>
      <c r="K158">
        <f t="shared" si="5"/>
        <v>0.88866485190691591</v>
      </c>
      <c r="L158">
        <v>44</v>
      </c>
      <c r="M158" t="s">
        <v>154</v>
      </c>
      <c r="N158">
        <v>2.2519999999999998E-2</v>
      </c>
      <c r="O158">
        <v>9.2000000000000003E-4</v>
      </c>
      <c r="P158">
        <v>1.23E-3</v>
      </c>
      <c r="Q158">
        <v>7.1179999999999993E-2</v>
      </c>
      <c r="R158">
        <v>0.10632</v>
      </c>
      <c r="S158">
        <v>5.8500000000000002E-3</v>
      </c>
      <c r="T158">
        <v>8.1999999999999998E-4</v>
      </c>
      <c r="U158">
        <v>2.205E-2</v>
      </c>
      <c r="V158">
        <v>1.8169999999999999E-2</v>
      </c>
      <c r="W158">
        <v>7.6999999999999996E-4</v>
      </c>
      <c r="Z158">
        <v>5.3220000000000003E-2</v>
      </c>
      <c r="AA158">
        <v>8.94E-3</v>
      </c>
      <c r="AB158">
        <v>4.9100000000000003E-3</v>
      </c>
      <c r="AC158">
        <v>0.26295000000000002</v>
      </c>
      <c r="AD158">
        <v>0.14061000000000001</v>
      </c>
      <c r="AE158">
        <v>1.23E-3</v>
      </c>
      <c r="AF158">
        <v>4.9100000000000003E-3</v>
      </c>
      <c r="AG158">
        <v>0.20485</v>
      </c>
      <c r="AI158">
        <v>2E-3</v>
      </c>
      <c r="AJ158">
        <v>8.0769999999999995E-2</v>
      </c>
      <c r="AM158">
        <v>3.4790000000000001E-2</v>
      </c>
      <c r="AO158">
        <v>8.94E-3</v>
      </c>
      <c r="AR158">
        <v>1.23E-3</v>
      </c>
      <c r="AS158">
        <v>1.474E-2</v>
      </c>
      <c r="AT158">
        <v>1.3820000000000001E-2</v>
      </c>
      <c r="AU158">
        <v>1.7100000000000001E-2</v>
      </c>
      <c r="AV158">
        <v>0.1651</v>
      </c>
      <c r="AZ158">
        <v>2.4570000000000002E-2</v>
      </c>
      <c r="BA158">
        <v>2.6199999999999999E-3</v>
      </c>
      <c r="BC158">
        <v>6.0999999999999997E-4</v>
      </c>
      <c r="BD158">
        <v>4.4000000000000002E-4</v>
      </c>
      <c r="BE158">
        <v>5.1999999999999995E-4</v>
      </c>
      <c r="BN158">
        <v>2.8800000000000002E-3</v>
      </c>
      <c r="BP158">
        <v>1.2999999999999999E-3</v>
      </c>
      <c r="BR158">
        <v>1.3699999999999999E-3</v>
      </c>
      <c r="BX158">
        <v>8.0999999999999996E-3</v>
      </c>
      <c r="CA158">
        <v>4.0999999999999999E-4</v>
      </c>
      <c r="CC158">
        <v>3.3800000000000002E-3</v>
      </c>
      <c r="CD158">
        <v>3.0699999999999998E-3</v>
      </c>
      <c r="CE158">
        <v>3.9899999999999996E-3</v>
      </c>
      <c r="CH158">
        <v>1.5399999999999999E-3</v>
      </c>
      <c r="CI158">
        <v>3.3E-3</v>
      </c>
      <c r="CK158">
        <v>1.9499999999999999E-3</v>
      </c>
      <c r="CL158">
        <v>1.1999999999999999E-3</v>
      </c>
    </row>
    <row r="159" spans="1:113" x14ac:dyDescent="0.2">
      <c r="A159">
        <v>158</v>
      </c>
      <c r="B159" t="s">
        <v>328</v>
      </c>
      <c r="C159" t="s">
        <v>329</v>
      </c>
      <c r="D159" t="s">
        <v>330</v>
      </c>
      <c r="E159" t="s">
        <v>230</v>
      </c>
      <c r="F159" t="s">
        <v>240</v>
      </c>
      <c r="G159" t="s">
        <v>336</v>
      </c>
      <c r="H159">
        <v>0.40372803600000001</v>
      </c>
      <c r="I159">
        <v>0.33907953000000002</v>
      </c>
      <c r="J159">
        <f t="shared" si="4"/>
        <v>1.4423208351034684</v>
      </c>
      <c r="K159">
        <f t="shared" si="5"/>
        <v>0.82179996250921428</v>
      </c>
      <c r="L159">
        <v>56</v>
      </c>
      <c r="M159" t="s">
        <v>154</v>
      </c>
      <c r="N159">
        <v>7.8759999999999997E-2</v>
      </c>
      <c r="O159">
        <v>0.33953</v>
      </c>
      <c r="P159">
        <v>4.199E-2</v>
      </c>
      <c r="R159">
        <v>1.44696</v>
      </c>
      <c r="T159">
        <v>2.8000000000000001E-2</v>
      </c>
      <c r="U159">
        <v>1.8970000000000001E-2</v>
      </c>
      <c r="V159">
        <v>0.60302999999999995</v>
      </c>
      <c r="W159">
        <v>1.68563</v>
      </c>
      <c r="Z159">
        <v>0.76949999999999996</v>
      </c>
      <c r="AA159">
        <v>1.44184</v>
      </c>
      <c r="AB159">
        <v>1.4E-2</v>
      </c>
      <c r="AC159">
        <v>2.3709999999999998E-2</v>
      </c>
      <c r="AD159">
        <v>0.66518999999999995</v>
      </c>
      <c r="AE159">
        <v>0.95201000000000002</v>
      </c>
      <c r="AF159">
        <v>0.20179</v>
      </c>
      <c r="AG159">
        <v>1.9740000000000001E-2</v>
      </c>
      <c r="AH159">
        <v>8.0400000000000003E-3</v>
      </c>
      <c r="AI159">
        <v>9.4560000000000005E-2</v>
      </c>
      <c r="AJ159">
        <v>6.5890000000000004E-2</v>
      </c>
      <c r="AK159">
        <v>0.14208000000000001</v>
      </c>
      <c r="AL159">
        <v>0.13183</v>
      </c>
      <c r="AO159">
        <v>8.4089999999999998E-2</v>
      </c>
      <c r="AP159">
        <v>6.9180000000000005E-2</v>
      </c>
      <c r="AR159">
        <v>0.10173</v>
      </c>
      <c r="AS159">
        <v>1.9099999999999999E-2</v>
      </c>
      <c r="AT159">
        <v>0.23552999999999999</v>
      </c>
      <c r="AU159">
        <v>3.1812499999999999</v>
      </c>
      <c r="AV159">
        <v>1.71523</v>
      </c>
      <c r="AW159">
        <v>2.7060000000000001E-2</v>
      </c>
      <c r="AX159">
        <v>0.10186000000000001</v>
      </c>
      <c r="AY159">
        <v>0.12778999999999999</v>
      </c>
      <c r="AZ159">
        <v>0.21190999999999999</v>
      </c>
      <c r="BA159">
        <v>5.7000000000000002E-3</v>
      </c>
      <c r="BB159">
        <v>0.64366999999999996</v>
      </c>
      <c r="BC159">
        <v>3.356E-2</v>
      </c>
      <c r="BD159">
        <v>0.76787000000000005</v>
      </c>
      <c r="BE159">
        <v>0.39369999999999999</v>
      </c>
      <c r="BH159">
        <v>0.40414</v>
      </c>
      <c r="BI159">
        <v>0.35460000000000003</v>
      </c>
      <c r="BL159">
        <v>0.32754</v>
      </c>
      <c r="BM159">
        <v>0.35791000000000001</v>
      </c>
      <c r="BP159">
        <v>0.189</v>
      </c>
      <c r="BQ159">
        <v>0.34991</v>
      </c>
      <c r="BR159">
        <v>1.7780000000000001E-2</v>
      </c>
      <c r="BU159">
        <v>0.20332</v>
      </c>
      <c r="BW159">
        <v>0.67962999999999996</v>
      </c>
      <c r="BX159">
        <v>1.09596</v>
      </c>
      <c r="BY159">
        <v>1.1462699999999999</v>
      </c>
      <c r="BZ159">
        <v>7.7039999999999997E-2</v>
      </c>
      <c r="CA159">
        <v>1.2E-4</v>
      </c>
      <c r="CB159">
        <v>4.6789999999999998E-2</v>
      </c>
      <c r="CC159">
        <v>0.10736999999999999</v>
      </c>
      <c r="CE159">
        <v>0.18923000000000001</v>
      </c>
      <c r="CF159">
        <v>0.14038</v>
      </c>
      <c r="CG159">
        <v>0.21475</v>
      </c>
      <c r="CK159">
        <v>0.21475</v>
      </c>
    </row>
    <row r="160" spans="1:113" x14ac:dyDescent="0.2">
      <c r="A160">
        <v>159</v>
      </c>
      <c r="B160" t="s">
        <v>328</v>
      </c>
      <c r="C160" t="s">
        <v>329</v>
      </c>
      <c r="D160" t="s">
        <v>330</v>
      </c>
      <c r="E160" t="s">
        <v>230</v>
      </c>
      <c r="F160" t="s">
        <v>240</v>
      </c>
      <c r="G160" t="s">
        <v>337</v>
      </c>
      <c r="H160">
        <v>8.6796896999999998E-2</v>
      </c>
      <c r="I160">
        <v>4.0150014999999997E-2</v>
      </c>
      <c r="J160">
        <f t="shared" si="4"/>
        <v>2.3085466583560001</v>
      </c>
      <c r="K160">
        <f t="shared" si="5"/>
        <v>0.91760930334938284</v>
      </c>
      <c r="L160">
        <v>29</v>
      </c>
      <c r="M160" t="s">
        <v>154</v>
      </c>
      <c r="N160">
        <v>9.6900000000000007E-3</v>
      </c>
      <c r="O160">
        <v>1.2999999999999999E-4</v>
      </c>
      <c r="Q160">
        <v>3.0200000000000001E-3</v>
      </c>
      <c r="R160">
        <v>1.3769999999999999E-2</v>
      </c>
      <c r="S160">
        <v>3.32E-3</v>
      </c>
      <c r="U160">
        <v>1.39E-3</v>
      </c>
      <c r="V160">
        <v>4.3619999999999999E-2</v>
      </c>
      <c r="W160">
        <v>3.0500000000000002E-3</v>
      </c>
      <c r="Z160">
        <v>3.8769999999999999E-2</v>
      </c>
      <c r="AA160">
        <v>1.33E-3</v>
      </c>
      <c r="AB160">
        <v>1.2E-4</v>
      </c>
      <c r="AC160">
        <v>6.7600000000000004E-3</v>
      </c>
      <c r="AD160">
        <v>3.0799999999999998E-3</v>
      </c>
      <c r="AE160">
        <v>5.2999999999999998E-4</v>
      </c>
      <c r="AF160">
        <v>4.6999999999999999E-4</v>
      </c>
      <c r="AG160">
        <v>1.4300000000000001E-3</v>
      </c>
      <c r="AS160">
        <v>0.88985999999999998</v>
      </c>
      <c r="AT160">
        <v>2.9080000000000002E-2</v>
      </c>
      <c r="AU160">
        <v>1.2999999999999999E-4</v>
      </c>
      <c r="AV160">
        <v>0.52432999999999996</v>
      </c>
      <c r="AZ160">
        <v>2.6210000000000001E-2</v>
      </c>
      <c r="BB160">
        <v>9.9129999999999996E-2</v>
      </c>
      <c r="BJ160">
        <v>9.6699999999999998E-3</v>
      </c>
      <c r="BK160">
        <v>1.2E-4</v>
      </c>
      <c r="BN160">
        <v>4.0000000000000003E-5</v>
      </c>
      <c r="BW160">
        <v>1.0059999999999999E-2</v>
      </c>
      <c r="BX160">
        <v>0.44025999999999998</v>
      </c>
      <c r="BY160">
        <v>0.14177000000000001</v>
      </c>
      <c r="BZ160">
        <v>0.21597</v>
      </c>
    </row>
    <row r="161" spans="1:109" x14ac:dyDescent="0.2">
      <c r="A161">
        <v>160</v>
      </c>
      <c r="B161" t="s">
        <v>328</v>
      </c>
      <c r="C161" t="s">
        <v>329</v>
      </c>
      <c r="D161" t="s">
        <v>330</v>
      </c>
      <c r="E161" t="s">
        <v>230</v>
      </c>
      <c r="F161" t="s">
        <v>240</v>
      </c>
      <c r="G161" t="s">
        <v>338</v>
      </c>
      <c r="H161">
        <v>2.5291000000000001E-2</v>
      </c>
      <c r="I161">
        <v>1.7119170000000001E-3</v>
      </c>
      <c r="J161">
        <f t="shared" si="4"/>
        <v>1.6359700577237029</v>
      </c>
      <c r="K161">
        <f t="shared" si="5"/>
        <v>0.85322601444660884</v>
      </c>
      <c r="L161">
        <v>10</v>
      </c>
      <c r="M161" t="s">
        <v>154</v>
      </c>
      <c r="O161">
        <v>2.6069999999999999E-2</v>
      </c>
      <c r="Q161">
        <v>2.0600000000000002E-3</v>
      </c>
      <c r="AV161">
        <v>0.13295999999999999</v>
      </c>
      <c r="BB161">
        <v>1.2899999999999999E-3</v>
      </c>
      <c r="BF161">
        <v>3.5450000000000002E-2</v>
      </c>
      <c r="BJ161">
        <v>4.6080000000000003E-2</v>
      </c>
      <c r="BV161">
        <v>4.0000000000000003E-5</v>
      </c>
      <c r="BZ161">
        <v>1.6000000000000001E-4</v>
      </c>
      <c r="CD161">
        <v>7.6299999999999996E-3</v>
      </c>
      <c r="CH161">
        <v>1.17E-3</v>
      </c>
    </row>
    <row r="162" spans="1:109" x14ac:dyDescent="0.2">
      <c r="A162">
        <v>161</v>
      </c>
      <c r="B162" t="s">
        <v>328</v>
      </c>
      <c r="C162" t="s">
        <v>329</v>
      </c>
      <c r="D162" t="s">
        <v>330</v>
      </c>
      <c r="E162" t="s">
        <v>230</v>
      </c>
      <c r="F162" t="s">
        <v>240</v>
      </c>
      <c r="G162" t="s">
        <v>339</v>
      </c>
      <c r="H162">
        <v>5.2842E-2</v>
      </c>
      <c r="I162">
        <v>1.2170904E-2</v>
      </c>
      <c r="J162">
        <f t="shared" si="4"/>
        <v>2.0877676875311457</v>
      </c>
      <c r="K162">
        <f t="shared" si="5"/>
        <v>0.90188144975539064</v>
      </c>
      <c r="L162">
        <v>10</v>
      </c>
      <c r="M162" t="s">
        <v>154</v>
      </c>
      <c r="O162">
        <v>1.2999999999999999E-4</v>
      </c>
      <c r="Q162">
        <v>3.0300000000000001E-3</v>
      </c>
      <c r="R162">
        <v>3.6170000000000001E-2</v>
      </c>
      <c r="S162">
        <v>9.2499999999999995E-3</v>
      </c>
      <c r="U162">
        <v>0.11430999999999999</v>
      </c>
      <c r="V162">
        <v>0.35058</v>
      </c>
      <c r="W162">
        <v>7.5700000000000003E-3</v>
      </c>
      <c r="AF162">
        <v>2.1099999999999999E-3</v>
      </c>
      <c r="AG162">
        <v>4.7699999999999999E-3</v>
      </c>
      <c r="AV162">
        <v>5.0000000000000001E-4</v>
      </c>
    </row>
    <row r="163" spans="1:109" x14ac:dyDescent="0.2">
      <c r="A163">
        <v>162</v>
      </c>
      <c r="B163" t="s">
        <v>328</v>
      </c>
      <c r="C163" t="s">
        <v>329</v>
      </c>
      <c r="D163" t="s">
        <v>330</v>
      </c>
      <c r="E163" t="s">
        <v>230</v>
      </c>
      <c r="F163" t="s">
        <v>240</v>
      </c>
      <c r="G163" t="s">
        <v>340</v>
      </c>
      <c r="H163">
        <v>0.16775195700000001</v>
      </c>
      <c r="I163">
        <v>0.127824192</v>
      </c>
      <c r="J163">
        <f t="shared" si="4"/>
        <v>2.1312722618530433</v>
      </c>
      <c r="K163">
        <f t="shared" si="5"/>
        <v>0.90530116052637821</v>
      </c>
      <c r="L163">
        <v>46</v>
      </c>
      <c r="M163" t="s">
        <v>154</v>
      </c>
      <c r="N163">
        <v>1.319E-2</v>
      </c>
      <c r="O163">
        <v>3.9699999999999996E-3</v>
      </c>
      <c r="P163">
        <v>3.5200000000000001E-3</v>
      </c>
      <c r="R163">
        <v>1.154E-2</v>
      </c>
      <c r="S163">
        <v>7.9399999999999991E-3</v>
      </c>
      <c r="V163">
        <v>1.1339999999999999E-2</v>
      </c>
      <c r="W163">
        <v>3.9260000000000003E-2</v>
      </c>
      <c r="Z163">
        <v>1.319E-2</v>
      </c>
      <c r="AA163">
        <v>1.7860000000000001E-2</v>
      </c>
      <c r="AD163">
        <v>1.6480000000000002E-2</v>
      </c>
      <c r="AE163">
        <v>2.7789999999999999E-2</v>
      </c>
      <c r="AF163">
        <v>3.5200000000000001E-3</v>
      </c>
      <c r="AI163">
        <v>0.1061</v>
      </c>
      <c r="AJ163">
        <v>0.22552</v>
      </c>
      <c r="AK163">
        <v>3.5029999999999999E-2</v>
      </c>
      <c r="AL163">
        <v>0.10238999999999999</v>
      </c>
      <c r="AO163">
        <v>8.6209999999999995E-2</v>
      </c>
      <c r="AP163">
        <v>0.16752</v>
      </c>
      <c r="AR163">
        <v>0.23215</v>
      </c>
      <c r="AS163">
        <v>2.0480000000000002E-2</v>
      </c>
      <c r="AT163">
        <v>2.8809999999999999E-2</v>
      </c>
      <c r="AU163">
        <v>0.10488</v>
      </c>
      <c r="AV163">
        <v>1.0240000000000001E-2</v>
      </c>
      <c r="AX163">
        <v>7.918E-2</v>
      </c>
      <c r="AY163">
        <v>1.3509999999999999E-2</v>
      </c>
      <c r="BB163">
        <v>1.536E-2</v>
      </c>
      <c r="BC163">
        <v>2.2970000000000001E-2</v>
      </c>
      <c r="BD163">
        <v>2.1574900000000001</v>
      </c>
      <c r="BE163">
        <v>0.33276</v>
      </c>
      <c r="BG163">
        <v>1.1E-4</v>
      </c>
      <c r="BH163">
        <v>0.35958000000000001</v>
      </c>
      <c r="BI163">
        <v>0.35565999999999998</v>
      </c>
      <c r="BJ163">
        <v>8.3000000000000001E-3</v>
      </c>
      <c r="BK163">
        <v>1.2E-4</v>
      </c>
      <c r="BL163">
        <v>0.31695000000000001</v>
      </c>
      <c r="BM163">
        <v>0.78386999999999996</v>
      </c>
      <c r="BP163">
        <v>0.3357</v>
      </c>
      <c r="BQ163">
        <v>0.51188</v>
      </c>
      <c r="BR163">
        <v>9.4699999999999993E-3</v>
      </c>
      <c r="BT163">
        <v>5.0349999999999999E-2</v>
      </c>
      <c r="BU163">
        <v>6.4189999999999997E-2</v>
      </c>
      <c r="BW163">
        <v>2.7150000000000001E-2</v>
      </c>
      <c r="BX163">
        <v>0.85487000000000002</v>
      </c>
      <c r="BY163">
        <v>0.10271</v>
      </c>
      <c r="BZ163">
        <v>9.4699999999999993E-3</v>
      </c>
      <c r="CF163">
        <v>1.601E-2</v>
      </c>
    </row>
    <row r="164" spans="1:109" x14ac:dyDescent="0.2">
      <c r="A164">
        <v>163</v>
      </c>
      <c r="B164" t="s">
        <v>328</v>
      </c>
      <c r="C164" t="s">
        <v>329</v>
      </c>
      <c r="D164" t="s">
        <v>330</v>
      </c>
      <c r="E164" t="s">
        <v>230</v>
      </c>
      <c r="F164" t="s">
        <v>240</v>
      </c>
      <c r="G164" t="s">
        <v>341</v>
      </c>
      <c r="H164">
        <v>0.450963846</v>
      </c>
      <c r="I164">
        <v>0.70837440600000001</v>
      </c>
      <c r="J164">
        <f t="shared" si="4"/>
        <v>1.8663354489318726</v>
      </c>
      <c r="K164">
        <f t="shared" si="5"/>
        <v>0.88144508489191498</v>
      </c>
      <c r="L164">
        <v>13</v>
      </c>
      <c r="M164" t="s">
        <v>154</v>
      </c>
      <c r="R164">
        <v>0.89688000000000001</v>
      </c>
      <c r="S164">
        <v>1.1147499999999999</v>
      </c>
      <c r="T164">
        <v>0.32500000000000001</v>
      </c>
      <c r="U164">
        <v>0.32050000000000001</v>
      </c>
      <c r="V164">
        <v>2.9749300000000001</v>
      </c>
      <c r="W164">
        <v>0.19495999999999999</v>
      </c>
      <c r="AD164">
        <v>1.1E-4</v>
      </c>
      <c r="AE164">
        <v>2.2280000000000001E-2</v>
      </c>
      <c r="AF164">
        <v>1.269E-2</v>
      </c>
      <c r="AG164">
        <v>4.0000000000000003E-5</v>
      </c>
      <c r="BE164">
        <v>1.2E-4</v>
      </c>
      <c r="BP164">
        <v>1.4999999999999999E-4</v>
      </c>
      <c r="BQ164">
        <v>1.2E-4</v>
      </c>
    </row>
    <row r="165" spans="1:109" x14ac:dyDescent="0.2">
      <c r="A165">
        <v>164</v>
      </c>
      <c r="B165" t="s">
        <v>328</v>
      </c>
      <c r="C165" t="s">
        <v>329</v>
      </c>
      <c r="D165" t="s">
        <v>330</v>
      </c>
      <c r="E165" t="s">
        <v>230</v>
      </c>
      <c r="F165" t="s">
        <v>240</v>
      </c>
      <c r="G165" t="s">
        <v>342</v>
      </c>
      <c r="H165">
        <v>3.633636E-3</v>
      </c>
      <c r="I165" s="1">
        <v>9.2739699999999992E-6</v>
      </c>
      <c r="J165">
        <f t="shared" si="4"/>
        <v>0.83809147621806057</v>
      </c>
      <c r="K165">
        <f t="shared" si="5"/>
        <v>0.64233407281879806</v>
      </c>
      <c r="L165">
        <v>11</v>
      </c>
      <c r="M165" t="s">
        <v>154</v>
      </c>
      <c r="N165">
        <v>4.3E-3</v>
      </c>
      <c r="O165">
        <v>3.13E-3</v>
      </c>
      <c r="P165">
        <v>4.2999999999999999E-4</v>
      </c>
      <c r="Q165">
        <v>2.8800000000000002E-3</v>
      </c>
      <c r="R165">
        <v>3.5899999999999999E-3</v>
      </c>
      <c r="S165">
        <v>1.6800000000000001E-3</v>
      </c>
      <c r="U165">
        <v>1.8799999999999999E-3</v>
      </c>
      <c r="Z165">
        <v>3.1900000000000001E-3</v>
      </c>
      <c r="AC165">
        <v>1.4400000000000001E-3</v>
      </c>
      <c r="AD165">
        <v>1.1679999999999999E-2</v>
      </c>
      <c r="AG165">
        <v>5.77E-3</v>
      </c>
    </row>
    <row r="166" spans="1:109" x14ac:dyDescent="0.2">
      <c r="A166">
        <v>165</v>
      </c>
      <c r="B166" t="s">
        <v>328</v>
      </c>
      <c r="C166" t="s">
        <v>329</v>
      </c>
      <c r="D166" t="s">
        <v>330</v>
      </c>
      <c r="E166" t="s">
        <v>230</v>
      </c>
      <c r="F166" t="s">
        <v>240</v>
      </c>
      <c r="G166" t="s">
        <v>343</v>
      </c>
      <c r="H166">
        <v>0.35778529399999998</v>
      </c>
      <c r="I166">
        <v>4.2534823999999999E-2</v>
      </c>
      <c r="J166">
        <f t="shared" si="4"/>
        <v>0.57643432542122219</v>
      </c>
      <c r="K166">
        <f t="shared" si="5"/>
        <v>0.49940472309112632</v>
      </c>
      <c r="L166">
        <v>17</v>
      </c>
      <c r="M166" t="s">
        <v>154</v>
      </c>
      <c r="V166">
        <v>0.64488000000000001</v>
      </c>
      <c r="AD166">
        <v>0.32244</v>
      </c>
      <c r="AH166">
        <v>0.22674</v>
      </c>
      <c r="AI166">
        <v>0.54605999999999999</v>
      </c>
      <c r="AJ166">
        <v>0.48359000000000002</v>
      </c>
      <c r="AK166">
        <v>0.32244</v>
      </c>
      <c r="AN166">
        <v>0.68020999999999998</v>
      </c>
      <c r="AO166">
        <v>0.27302999999999999</v>
      </c>
      <c r="AP166">
        <v>0.48359000000000002</v>
      </c>
      <c r="AR166">
        <v>0.52149999999999996</v>
      </c>
      <c r="AU166">
        <v>0.5081</v>
      </c>
      <c r="BB166">
        <v>0.46360000000000001</v>
      </c>
      <c r="BC166">
        <v>0.32244</v>
      </c>
      <c r="BP166">
        <v>0.10044</v>
      </c>
      <c r="BQ166">
        <v>0.13206999999999999</v>
      </c>
      <c r="BR166">
        <v>9.4500000000000001E-3</v>
      </c>
      <c r="BX166">
        <v>4.1770000000000002E-2</v>
      </c>
    </row>
    <row r="167" spans="1:109" x14ac:dyDescent="0.2">
      <c r="A167">
        <v>166</v>
      </c>
      <c r="B167" t="s">
        <v>328</v>
      </c>
      <c r="C167" t="s">
        <v>329</v>
      </c>
      <c r="D167" t="s">
        <v>330</v>
      </c>
      <c r="E167" t="s">
        <v>230</v>
      </c>
      <c r="F167" t="s">
        <v>240</v>
      </c>
      <c r="G167" t="s">
        <v>344</v>
      </c>
      <c r="H167">
        <v>0.60040000000000004</v>
      </c>
      <c r="I167">
        <v>2.1393455750000001</v>
      </c>
      <c r="J167">
        <f t="shared" si="4"/>
        <v>2.4361262306287568</v>
      </c>
      <c r="K167">
        <f t="shared" si="5"/>
        <v>0.9250934462243906</v>
      </c>
      <c r="L167">
        <v>16</v>
      </c>
      <c r="M167" t="s">
        <v>154</v>
      </c>
      <c r="O167">
        <v>4.1099999999999999E-3</v>
      </c>
      <c r="Z167">
        <v>1.1E-4</v>
      </c>
      <c r="AD167">
        <v>2.7999999999999998E-4</v>
      </c>
      <c r="AE167">
        <v>2.7060000000000001E-2</v>
      </c>
      <c r="AK167">
        <v>0.74158000000000002</v>
      </c>
      <c r="AN167">
        <v>3.74614</v>
      </c>
      <c r="AP167">
        <v>6.8479999999999999E-2</v>
      </c>
      <c r="AT167">
        <v>1.1E-4</v>
      </c>
      <c r="AU167">
        <v>1.8440000000000002E-2</v>
      </c>
      <c r="AV167">
        <v>1.2E-4</v>
      </c>
      <c r="BB167">
        <v>3.9899999999999996E-3</v>
      </c>
      <c r="BE167">
        <v>0.17513000000000001</v>
      </c>
      <c r="BI167">
        <v>4.82057</v>
      </c>
      <c r="BY167">
        <v>1.2E-4</v>
      </c>
      <c r="BZ167">
        <v>4.0000000000000003E-5</v>
      </c>
      <c r="CK167">
        <v>1.2E-4</v>
      </c>
    </row>
    <row r="168" spans="1:109" x14ac:dyDescent="0.2">
      <c r="A168">
        <v>167</v>
      </c>
      <c r="B168" t="s">
        <v>328</v>
      </c>
      <c r="C168" t="s">
        <v>329</v>
      </c>
      <c r="D168" t="s">
        <v>330</v>
      </c>
      <c r="E168" t="s">
        <v>230</v>
      </c>
      <c r="F168" t="s">
        <v>240</v>
      </c>
      <c r="G168" t="s">
        <v>345</v>
      </c>
      <c r="H168">
        <v>1.6230000000000001E-2</v>
      </c>
      <c r="I168">
        <v>2.4288859999999999E-3</v>
      </c>
      <c r="J168">
        <f t="shared" si="4"/>
        <v>3.0365822283834425</v>
      </c>
      <c r="K168">
        <f t="shared" si="5"/>
        <v>0.94982135338263873</v>
      </c>
      <c r="L168">
        <v>14</v>
      </c>
      <c r="M168" t="s">
        <v>154</v>
      </c>
      <c r="R168">
        <v>1.1E-4</v>
      </c>
      <c r="W168">
        <v>1.2999999999999999E-4</v>
      </c>
      <c r="Z168">
        <v>1.1E-4</v>
      </c>
      <c r="AC168">
        <v>4.0000000000000003E-5</v>
      </c>
      <c r="AE168">
        <v>1.2999999999999999E-4</v>
      </c>
      <c r="AP168">
        <v>1.2E-4</v>
      </c>
      <c r="BE168">
        <v>1.2E-4</v>
      </c>
      <c r="BI168">
        <v>1.2E-4</v>
      </c>
      <c r="BM168">
        <v>1.2E-4</v>
      </c>
      <c r="BP168">
        <v>4.3150000000000001E-2</v>
      </c>
      <c r="BQ168">
        <v>0.18276000000000001</v>
      </c>
      <c r="BX168">
        <v>1.4999999999999999E-4</v>
      </c>
      <c r="CG168">
        <v>1.2E-4</v>
      </c>
      <c r="CH168">
        <v>4.0000000000000003E-5</v>
      </c>
    </row>
    <row r="169" spans="1:109" x14ac:dyDescent="0.2">
      <c r="A169">
        <v>168</v>
      </c>
      <c r="B169" t="s">
        <v>328</v>
      </c>
      <c r="C169" t="s">
        <v>329</v>
      </c>
      <c r="D169" t="s">
        <v>330</v>
      </c>
      <c r="E169" t="s">
        <v>230</v>
      </c>
      <c r="F169" t="s">
        <v>240</v>
      </c>
      <c r="G169" t="s">
        <v>346</v>
      </c>
      <c r="H169">
        <v>0.32440052600000002</v>
      </c>
      <c r="I169">
        <v>7.1809273000000007E-2</v>
      </c>
      <c r="J169">
        <f t="shared" si="4"/>
        <v>0.82605452632700216</v>
      </c>
      <c r="K169">
        <f t="shared" si="5"/>
        <v>0.63686658564062648</v>
      </c>
      <c r="L169">
        <v>19</v>
      </c>
      <c r="M169" t="s">
        <v>154</v>
      </c>
      <c r="O169">
        <v>0.40294999999999997</v>
      </c>
      <c r="P169">
        <v>5.9479999999999998E-2</v>
      </c>
      <c r="W169">
        <v>0.80589999999999995</v>
      </c>
      <c r="AE169">
        <v>0.53727000000000003</v>
      </c>
      <c r="AI169">
        <v>0.20147000000000001</v>
      </c>
      <c r="AO169">
        <v>0.13431999999999999</v>
      </c>
      <c r="AR169">
        <v>0.55266999999999999</v>
      </c>
      <c r="AU169">
        <v>0.53435999999999995</v>
      </c>
      <c r="AV169">
        <v>0.46537000000000001</v>
      </c>
      <c r="AX169">
        <v>0.48860999999999999</v>
      </c>
      <c r="AY169">
        <v>0.48615999999999998</v>
      </c>
      <c r="AZ169">
        <v>0.78993999999999998</v>
      </c>
      <c r="BB169">
        <v>0.44845000000000002</v>
      </c>
      <c r="BH169">
        <v>5.849E-2</v>
      </c>
      <c r="BI169">
        <v>7.4000000000000003E-3</v>
      </c>
      <c r="BJ169">
        <v>2.5100000000000001E-3</v>
      </c>
      <c r="BM169">
        <v>7.4000000000000003E-3</v>
      </c>
      <c r="BP169">
        <v>0.11978</v>
      </c>
      <c r="BY169">
        <v>6.1080000000000002E-2</v>
      </c>
    </row>
    <row r="170" spans="1:109" x14ac:dyDescent="0.2">
      <c r="A170">
        <v>169</v>
      </c>
      <c r="B170" t="s">
        <v>328</v>
      </c>
      <c r="C170" t="s">
        <v>329</v>
      </c>
      <c r="D170" t="s">
        <v>330</v>
      </c>
      <c r="E170" t="s">
        <v>230</v>
      </c>
      <c r="F170" t="s">
        <v>240</v>
      </c>
      <c r="G170" t="s">
        <v>347</v>
      </c>
      <c r="H170">
        <v>0.380801379</v>
      </c>
      <c r="I170">
        <v>0.374866639</v>
      </c>
      <c r="J170">
        <f t="shared" si="4"/>
        <v>1.6078290966812141</v>
      </c>
      <c r="K170">
        <f t="shared" si="5"/>
        <v>0.84915774348829653</v>
      </c>
      <c r="L170">
        <v>29</v>
      </c>
      <c r="M170" t="s">
        <v>154</v>
      </c>
      <c r="O170">
        <v>0.28964000000000001</v>
      </c>
      <c r="R170">
        <v>0.32071</v>
      </c>
      <c r="T170">
        <v>8.5500000000000007E-2</v>
      </c>
      <c r="AD170">
        <v>8.0180000000000001E-2</v>
      </c>
      <c r="AE170">
        <v>0.38618000000000002</v>
      </c>
      <c r="AI170">
        <v>1.9309099999999999</v>
      </c>
      <c r="AJ170">
        <v>2.2230500000000002</v>
      </c>
      <c r="AK170">
        <v>0.56123000000000001</v>
      </c>
      <c r="AL170">
        <v>0.19309000000000001</v>
      </c>
      <c r="AM170">
        <v>8.5500000000000007E-2</v>
      </c>
      <c r="AO170">
        <v>2.02746</v>
      </c>
      <c r="AP170">
        <v>0.34200999999999998</v>
      </c>
      <c r="AU170">
        <v>0.49975000000000003</v>
      </c>
      <c r="AV170">
        <v>0.44973999999999997</v>
      </c>
      <c r="AX170">
        <v>0.53715000000000002</v>
      </c>
      <c r="BM170">
        <v>2.48E-3</v>
      </c>
      <c r="BP170">
        <v>8.7050000000000002E-2</v>
      </c>
      <c r="BQ170">
        <v>5.7910000000000003E-2</v>
      </c>
      <c r="BU170">
        <v>0.13317000000000001</v>
      </c>
      <c r="BV170">
        <v>3.6850000000000001E-2</v>
      </c>
      <c r="BW170">
        <v>3.5200000000000002E-2</v>
      </c>
      <c r="BX170">
        <v>0.56584999999999996</v>
      </c>
      <c r="BZ170">
        <v>1.2279999999999999E-2</v>
      </c>
      <c r="CB170">
        <v>2.5930000000000002E-2</v>
      </c>
      <c r="CC170">
        <v>3.2259999999999997E-2</v>
      </c>
      <c r="CE170">
        <v>5.2500000000000003E-3</v>
      </c>
      <c r="CF170">
        <v>1.9460000000000002E-2</v>
      </c>
      <c r="CG170">
        <v>9.1599999999999997E-3</v>
      </c>
      <c r="CJ170">
        <v>8.2900000000000005E-3</v>
      </c>
    </row>
    <row r="171" spans="1:109" x14ac:dyDescent="0.2">
      <c r="A171">
        <v>170</v>
      </c>
      <c r="B171" t="s">
        <v>328</v>
      </c>
      <c r="C171" t="s">
        <v>329</v>
      </c>
      <c r="D171" t="s">
        <v>330</v>
      </c>
      <c r="E171" t="s">
        <v>230</v>
      </c>
      <c r="F171" t="s">
        <v>240</v>
      </c>
      <c r="G171" t="s">
        <v>348</v>
      </c>
      <c r="H171">
        <v>0.46162489400000001</v>
      </c>
      <c r="I171">
        <v>0.61700974099999994</v>
      </c>
      <c r="J171">
        <f t="shared" si="4"/>
        <v>1.7015973059773488</v>
      </c>
      <c r="K171">
        <f t="shared" si="5"/>
        <v>0.86214218919549857</v>
      </c>
      <c r="L171">
        <v>47</v>
      </c>
      <c r="M171" t="s">
        <v>154</v>
      </c>
      <c r="O171">
        <v>8.1099999999999992E-3</v>
      </c>
      <c r="R171">
        <v>1.1679999999999999E-2</v>
      </c>
      <c r="S171">
        <v>6.62E-3</v>
      </c>
      <c r="V171">
        <v>6.5599999999999999E-3</v>
      </c>
      <c r="W171">
        <v>7.6660000000000006E-2</v>
      </c>
      <c r="Z171">
        <v>9.2350000000000002E-2</v>
      </c>
      <c r="AA171">
        <v>2.2839999999999999E-2</v>
      </c>
      <c r="AD171">
        <v>4.0419999999999998E-2</v>
      </c>
      <c r="AE171">
        <v>0.11459</v>
      </c>
      <c r="AH171">
        <v>3.2710000000000003E-2</v>
      </c>
      <c r="AI171">
        <v>5.1639999999999998E-2</v>
      </c>
      <c r="AJ171">
        <v>7.6490000000000002E-2</v>
      </c>
      <c r="AK171">
        <v>1.16056</v>
      </c>
      <c r="AL171">
        <v>0.43489</v>
      </c>
      <c r="AO171">
        <v>9.6820000000000003E-2</v>
      </c>
      <c r="AP171">
        <v>8.974E-2</v>
      </c>
      <c r="AR171">
        <v>3.9260000000000003E-2</v>
      </c>
      <c r="AT171">
        <v>4.1980000000000003E-2</v>
      </c>
      <c r="AU171">
        <v>1.57351</v>
      </c>
      <c r="AV171">
        <v>0.34955000000000003</v>
      </c>
      <c r="AX171">
        <v>1.8440000000000002E-2</v>
      </c>
      <c r="AY171">
        <v>6.8399999999999997E-3</v>
      </c>
      <c r="BB171">
        <v>4.4519999999999997E-2</v>
      </c>
      <c r="BD171">
        <v>1.2999999999999999E-4</v>
      </c>
      <c r="BE171">
        <v>1.5515000000000001</v>
      </c>
      <c r="BG171">
        <v>5.62E-3</v>
      </c>
      <c r="BH171">
        <v>1.2999999999999999E-4</v>
      </c>
      <c r="BI171">
        <v>3.59937</v>
      </c>
      <c r="BL171">
        <v>7.8950000000000006E-2</v>
      </c>
      <c r="BM171">
        <v>0.47147</v>
      </c>
      <c r="BP171">
        <v>0.38111</v>
      </c>
      <c r="BQ171">
        <v>2.5658599999999998</v>
      </c>
      <c r="BR171">
        <v>5.3769999999999998E-2</v>
      </c>
      <c r="BS171">
        <v>1.2E-4</v>
      </c>
      <c r="BT171">
        <v>1.4999999999999999E-4</v>
      </c>
      <c r="BU171">
        <v>0.47804999999999997</v>
      </c>
      <c r="BX171">
        <v>1.7370699999999999</v>
      </c>
      <c r="BY171">
        <v>0.82689999999999997</v>
      </c>
      <c r="CA171">
        <v>1.2E-4</v>
      </c>
      <c r="CB171">
        <v>2.1295700000000002</v>
      </c>
      <c r="CC171">
        <v>1.5749899999999999</v>
      </c>
      <c r="CE171">
        <v>0.51419000000000004</v>
      </c>
      <c r="CF171">
        <v>1.4999999999999999E-4</v>
      </c>
      <c r="CG171">
        <v>0.64731000000000005</v>
      </c>
      <c r="CI171">
        <v>0.12770000000000001</v>
      </c>
      <c r="CJ171">
        <v>7.8950000000000006E-2</v>
      </c>
      <c r="CK171">
        <v>0.47641</v>
      </c>
    </row>
    <row r="172" spans="1:109" x14ac:dyDescent="0.2">
      <c r="A172">
        <v>171</v>
      </c>
      <c r="B172" t="s">
        <v>328</v>
      </c>
      <c r="C172" t="s">
        <v>329</v>
      </c>
      <c r="D172" t="s">
        <v>330</v>
      </c>
      <c r="E172" t="s">
        <v>230</v>
      </c>
      <c r="F172" t="s">
        <v>240</v>
      </c>
      <c r="G172" t="s">
        <v>349</v>
      </c>
      <c r="H172">
        <v>0.27570323499999999</v>
      </c>
      <c r="I172">
        <v>0.12781446099999999</v>
      </c>
      <c r="J172">
        <f t="shared" si="4"/>
        <v>1.296725748363605</v>
      </c>
      <c r="K172">
        <f t="shared" si="5"/>
        <v>0.79188008822350964</v>
      </c>
      <c r="L172">
        <v>34</v>
      </c>
      <c r="M172" t="s">
        <v>154</v>
      </c>
      <c r="O172">
        <v>5.7299999999999997E-2</v>
      </c>
      <c r="R172">
        <v>0.28416999999999998</v>
      </c>
      <c r="S172">
        <v>1.494E-2</v>
      </c>
      <c r="V172">
        <v>1.8610000000000002E-2</v>
      </c>
      <c r="W172">
        <v>0.20504</v>
      </c>
      <c r="Z172">
        <v>0.12986</v>
      </c>
      <c r="AA172">
        <v>2.0539999999999999E-2</v>
      </c>
      <c r="AD172">
        <v>0.1225</v>
      </c>
      <c r="AE172">
        <v>0.58569000000000004</v>
      </c>
      <c r="AF172">
        <v>6.7799999999999999E-2</v>
      </c>
      <c r="AH172">
        <v>1.6119999999999999E-2</v>
      </c>
      <c r="AI172">
        <v>0.53210999999999997</v>
      </c>
      <c r="AJ172">
        <v>1.2847500000000001</v>
      </c>
      <c r="AK172">
        <v>0.54784999999999995</v>
      </c>
      <c r="AL172">
        <v>0.20810000000000001</v>
      </c>
      <c r="AO172">
        <v>1.2999999999999999E-4</v>
      </c>
      <c r="AP172">
        <v>0.21032000000000001</v>
      </c>
      <c r="AR172">
        <v>1.0201800000000001</v>
      </c>
      <c r="AS172">
        <v>2.8209999999999999E-2</v>
      </c>
      <c r="AU172">
        <v>0.34788999999999998</v>
      </c>
      <c r="AV172">
        <v>6.837E-2</v>
      </c>
      <c r="BD172">
        <v>1.2999999999999999E-4</v>
      </c>
      <c r="BE172">
        <v>1.0067299999999999</v>
      </c>
      <c r="BI172">
        <v>0.38138</v>
      </c>
      <c r="BQ172">
        <v>1.1909000000000001</v>
      </c>
      <c r="BU172">
        <v>1.2E-4</v>
      </c>
      <c r="BX172">
        <v>0.33875</v>
      </c>
      <c r="BY172">
        <v>0.21435999999999999</v>
      </c>
      <c r="CB172">
        <v>6.5280000000000005E-2</v>
      </c>
      <c r="CC172">
        <v>0.21412999999999999</v>
      </c>
      <c r="CE172">
        <v>0.11104</v>
      </c>
      <c r="CF172">
        <v>1.4999999999999999E-4</v>
      </c>
      <c r="CG172">
        <v>1.2E-4</v>
      </c>
      <c r="CK172">
        <v>8.0339999999999995E-2</v>
      </c>
    </row>
    <row r="173" spans="1:109" x14ac:dyDescent="0.2">
      <c r="A173">
        <v>172</v>
      </c>
      <c r="B173" t="s">
        <v>328</v>
      </c>
      <c r="C173" t="s">
        <v>329</v>
      </c>
      <c r="D173" t="s">
        <v>330</v>
      </c>
      <c r="E173" t="s">
        <v>230</v>
      </c>
      <c r="F173" t="s">
        <v>240</v>
      </c>
      <c r="G173" t="s">
        <v>350</v>
      </c>
      <c r="H173">
        <v>3.660482778</v>
      </c>
      <c r="I173">
        <v>15.01601</v>
      </c>
      <c r="J173">
        <f t="shared" si="4"/>
        <v>1.0586171038395547</v>
      </c>
      <c r="K173">
        <f t="shared" si="5"/>
        <v>0.72694632020803884</v>
      </c>
      <c r="L173">
        <v>18</v>
      </c>
      <c r="M173" t="s">
        <v>154</v>
      </c>
      <c r="O173">
        <v>4.44679</v>
      </c>
      <c r="S173">
        <v>3.3877000000000002</v>
      </c>
      <c r="V173">
        <v>2.25664</v>
      </c>
      <c r="W173">
        <v>1.01688</v>
      </c>
      <c r="Z173">
        <v>1.1E-4</v>
      </c>
      <c r="AK173">
        <v>10.35641</v>
      </c>
      <c r="AN173">
        <v>3.77562</v>
      </c>
      <c r="AO173">
        <v>4.7822100000000001</v>
      </c>
      <c r="AP173">
        <v>1.29745</v>
      </c>
      <c r="AV173">
        <v>0.75243000000000004</v>
      </c>
      <c r="BC173">
        <v>1.60791</v>
      </c>
      <c r="BG173">
        <v>9.6474299999999999</v>
      </c>
      <c r="BI173">
        <v>1.72184</v>
      </c>
      <c r="BJ173">
        <v>4.0659900000000002</v>
      </c>
      <c r="BL173">
        <v>2.2324099999999998</v>
      </c>
      <c r="BQ173">
        <v>0.51751999999999998</v>
      </c>
      <c r="BS173">
        <v>0.16638</v>
      </c>
      <c r="BT173">
        <v>13.85697</v>
      </c>
    </row>
    <row r="174" spans="1:109" x14ac:dyDescent="0.2">
      <c r="A174">
        <v>173</v>
      </c>
      <c r="B174" t="s">
        <v>351</v>
      </c>
      <c r="C174" t="s">
        <v>351</v>
      </c>
      <c r="D174" t="s">
        <v>352</v>
      </c>
      <c r="E174" t="s">
        <v>353</v>
      </c>
      <c r="F174" t="s">
        <v>354</v>
      </c>
      <c r="G174" t="s">
        <v>355</v>
      </c>
      <c r="H174">
        <v>1860.625</v>
      </c>
      <c r="I174">
        <v>295993.28950000001</v>
      </c>
      <c r="J174">
        <f t="shared" si="4"/>
        <v>0.29240317272008737</v>
      </c>
      <c r="K174">
        <f t="shared" si="5"/>
        <v>0.28065141981812347</v>
      </c>
      <c r="L174">
        <v>96</v>
      </c>
      <c r="M174" t="s">
        <v>154</v>
      </c>
      <c r="N174">
        <v>670</v>
      </c>
      <c r="O174">
        <v>740</v>
      </c>
      <c r="P174">
        <v>930</v>
      </c>
      <c r="Q174">
        <v>1000</v>
      </c>
      <c r="R174">
        <v>1000</v>
      </c>
      <c r="S174">
        <v>1010</v>
      </c>
      <c r="T174">
        <v>1100</v>
      </c>
      <c r="U174">
        <v>1100</v>
      </c>
      <c r="V174">
        <v>1150</v>
      </c>
      <c r="W174">
        <v>1200</v>
      </c>
      <c r="X174">
        <v>1260</v>
      </c>
      <c r="Y174">
        <v>1380</v>
      </c>
      <c r="Z174">
        <v>1400</v>
      </c>
      <c r="AA174">
        <v>1400</v>
      </c>
      <c r="AB174">
        <v>1400</v>
      </c>
      <c r="AC174">
        <v>1410</v>
      </c>
      <c r="AD174">
        <v>1500</v>
      </c>
      <c r="AE174">
        <v>1500</v>
      </c>
      <c r="AF174">
        <v>1520</v>
      </c>
      <c r="AG174">
        <v>1600</v>
      </c>
      <c r="AH174">
        <v>1650</v>
      </c>
      <c r="AI174">
        <v>1650</v>
      </c>
      <c r="AJ174">
        <v>1660</v>
      </c>
      <c r="AK174">
        <v>1680</v>
      </c>
      <c r="AL174">
        <v>1700</v>
      </c>
      <c r="AM174">
        <v>1700</v>
      </c>
      <c r="AN174">
        <v>1720</v>
      </c>
      <c r="AO174">
        <v>1800</v>
      </c>
      <c r="AP174">
        <v>1800</v>
      </c>
      <c r="AQ174">
        <v>1810</v>
      </c>
      <c r="AR174">
        <v>1830</v>
      </c>
      <c r="AS174">
        <v>1850</v>
      </c>
      <c r="AT174">
        <v>1860</v>
      </c>
      <c r="AU174">
        <v>1860</v>
      </c>
      <c r="AV174">
        <v>1890</v>
      </c>
      <c r="AW174">
        <v>1980</v>
      </c>
      <c r="AX174">
        <v>2000</v>
      </c>
      <c r="AY174">
        <v>2000</v>
      </c>
      <c r="AZ174">
        <v>2050</v>
      </c>
      <c r="BA174">
        <v>2050</v>
      </c>
      <c r="BB174">
        <v>2060</v>
      </c>
      <c r="BC174">
        <v>2100</v>
      </c>
      <c r="BD174">
        <v>2140</v>
      </c>
      <c r="BE174">
        <v>2140</v>
      </c>
      <c r="BF174">
        <v>2170</v>
      </c>
      <c r="BG174">
        <v>2190</v>
      </c>
      <c r="BH174">
        <v>2200</v>
      </c>
      <c r="BI174">
        <v>2270</v>
      </c>
      <c r="BJ174">
        <v>2290</v>
      </c>
      <c r="BK174">
        <v>2310</v>
      </c>
      <c r="BL174">
        <v>2310</v>
      </c>
      <c r="BM174">
        <v>2320</v>
      </c>
      <c r="BN174">
        <v>2330</v>
      </c>
      <c r="BO174">
        <v>2400</v>
      </c>
      <c r="BP174">
        <v>2400</v>
      </c>
      <c r="BQ174">
        <v>2550</v>
      </c>
      <c r="BR174">
        <v>2570</v>
      </c>
      <c r="BS174">
        <v>2810</v>
      </c>
      <c r="BT174">
        <v>3040</v>
      </c>
      <c r="BU174">
        <v>760</v>
      </c>
      <c r="BV174">
        <v>920</v>
      </c>
      <c r="BW174">
        <v>1150</v>
      </c>
      <c r="BX174">
        <v>1180</v>
      </c>
      <c r="BY174">
        <v>1390</v>
      </c>
      <c r="BZ174">
        <v>1490</v>
      </c>
      <c r="CA174">
        <v>1560</v>
      </c>
      <c r="CB174">
        <v>1580</v>
      </c>
      <c r="CC174">
        <v>1580</v>
      </c>
      <c r="CD174">
        <v>1640</v>
      </c>
      <c r="CE174">
        <v>1660</v>
      </c>
      <c r="CF174">
        <v>1670</v>
      </c>
      <c r="CG174">
        <v>1730</v>
      </c>
      <c r="CH174">
        <v>1860</v>
      </c>
      <c r="CI174">
        <v>1880</v>
      </c>
      <c r="CJ174">
        <v>1890</v>
      </c>
      <c r="CK174">
        <v>1890</v>
      </c>
      <c r="CL174">
        <v>1900</v>
      </c>
      <c r="CM174">
        <v>1940</v>
      </c>
      <c r="CN174">
        <v>2050</v>
      </c>
      <c r="CO174">
        <v>2050</v>
      </c>
      <c r="CP174">
        <v>2080</v>
      </c>
      <c r="CQ174">
        <v>2100</v>
      </c>
      <c r="CR174">
        <v>2110</v>
      </c>
      <c r="CS174">
        <v>2170</v>
      </c>
      <c r="CT174">
        <v>2190</v>
      </c>
      <c r="CU174">
        <v>2190</v>
      </c>
      <c r="CV174">
        <v>2250</v>
      </c>
      <c r="CW174">
        <v>2320</v>
      </c>
      <c r="CX174">
        <v>2350</v>
      </c>
      <c r="CY174">
        <v>2350</v>
      </c>
      <c r="CZ174">
        <v>2390</v>
      </c>
      <c r="DA174">
        <v>2480</v>
      </c>
      <c r="DB174">
        <v>2850</v>
      </c>
      <c r="DC174">
        <v>3030</v>
      </c>
      <c r="DD174">
        <v>3060</v>
      </c>
      <c r="DE174">
        <v>3520</v>
      </c>
    </row>
    <row r="175" spans="1:109" x14ac:dyDescent="0.2">
      <c r="A175">
        <v>174</v>
      </c>
      <c r="B175" t="s">
        <v>351</v>
      </c>
      <c r="C175" t="s">
        <v>351</v>
      </c>
      <c r="D175" t="s">
        <v>352</v>
      </c>
      <c r="E175" t="s">
        <v>356</v>
      </c>
      <c r="F175" t="s">
        <v>354</v>
      </c>
      <c r="G175" t="s">
        <v>357</v>
      </c>
      <c r="H175">
        <v>1210.431818</v>
      </c>
      <c r="I175">
        <v>170337.97200000001</v>
      </c>
      <c r="J175">
        <f t="shared" si="4"/>
        <v>0.34096939965933909</v>
      </c>
      <c r="K175">
        <f t="shared" si="5"/>
        <v>0.32272506584344235</v>
      </c>
      <c r="L175">
        <v>44</v>
      </c>
      <c r="M175" t="s">
        <v>154</v>
      </c>
      <c r="N175">
        <v>1190</v>
      </c>
      <c r="O175">
        <v>1290</v>
      </c>
      <c r="P175">
        <v>1320</v>
      </c>
      <c r="Q175">
        <v>1330</v>
      </c>
      <c r="R175">
        <v>1370</v>
      </c>
      <c r="S175">
        <v>1400</v>
      </c>
      <c r="T175">
        <v>1430</v>
      </c>
      <c r="U175">
        <v>1430</v>
      </c>
      <c r="V175">
        <v>1440</v>
      </c>
      <c r="W175">
        <v>1450</v>
      </c>
      <c r="X175">
        <v>1540</v>
      </c>
      <c r="Y175">
        <v>1570</v>
      </c>
      <c r="Z175">
        <v>1620</v>
      </c>
      <c r="AA175">
        <v>1620</v>
      </c>
      <c r="AB175">
        <v>1630</v>
      </c>
      <c r="AC175">
        <v>1680</v>
      </c>
      <c r="AD175">
        <v>1710</v>
      </c>
      <c r="AE175">
        <v>1900</v>
      </c>
      <c r="AF175">
        <v>550</v>
      </c>
      <c r="AG175">
        <v>570</v>
      </c>
      <c r="AH175">
        <v>580</v>
      </c>
      <c r="AI175">
        <v>590</v>
      </c>
      <c r="AJ175">
        <v>600</v>
      </c>
      <c r="AK175">
        <v>670</v>
      </c>
      <c r="AL175">
        <v>720</v>
      </c>
      <c r="AM175">
        <v>750</v>
      </c>
      <c r="AN175">
        <v>800</v>
      </c>
      <c r="AO175">
        <v>830</v>
      </c>
      <c r="AP175">
        <v>830</v>
      </c>
      <c r="AQ175">
        <v>839</v>
      </c>
      <c r="AR175">
        <v>870</v>
      </c>
      <c r="AS175">
        <v>870</v>
      </c>
      <c r="AT175">
        <v>910</v>
      </c>
      <c r="AU175">
        <v>940</v>
      </c>
      <c r="AV175">
        <v>1020</v>
      </c>
      <c r="AW175">
        <v>1060</v>
      </c>
      <c r="AX175">
        <v>1120</v>
      </c>
      <c r="AY175">
        <v>1170</v>
      </c>
      <c r="AZ175">
        <v>1490</v>
      </c>
      <c r="BA175">
        <v>1530</v>
      </c>
      <c r="BB175">
        <v>1580</v>
      </c>
      <c r="BC175">
        <v>1630</v>
      </c>
      <c r="BD175">
        <v>1750</v>
      </c>
      <c r="BE175">
        <v>2070</v>
      </c>
    </row>
    <row r="176" spans="1:109" x14ac:dyDescent="0.2">
      <c r="A176">
        <v>175</v>
      </c>
      <c r="B176" t="s">
        <v>351</v>
      </c>
      <c r="C176" t="s">
        <v>351</v>
      </c>
      <c r="D176" t="s">
        <v>352</v>
      </c>
      <c r="E176" t="s">
        <v>358</v>
      </c>
      <c r="F176" t="s">
        <v>354</v>
      </c>
      <c r="G176" t="s">
        <v>359</v>
      </c>
      <c r="H176">
        <v>538.62068969999996</v>
      </c>
      <c r="I176">
        <v>50048.029560000003</v>
      </c>
      <c r="J176">
        <f t="shared" si="4"/>
        <v>0.41534640909693299</v>
      </c>
      <c r="K176">
        <f t="shared" si="5"/>
        <v>0.38357623637520988</v>
      </c>
      <c r="L176">
        <v>29</v>
      </c>
      <c r="M176" t="s">
        <v>154</v>
      </c>
      <c r="N176">
        <v>230</v>
      </c>
      <c r="O176">
        <v>330</v>
      </c>
      <c r="P176">
        <v>350</v>
      </c>
      <c r="Q176">
        <v>350</v>
      </c>
      <c r="R176">
        <v>360</v>
      </c>
      <c r="S176">
        <v>430</v>
      </c>
      <c r="T176">
        <v>440</v>
      </c>
      <c r="U176">
        <v>440</v>
      </c>
      <c r="V176">
        <v>490</v>
      </c>
      <c r="W176">
        <v>540</v>
      </c>
      <c r="X176">
        <v>540</v>
      </c>
      <c r="Y176">
        <v>570</v>
      </c>
      <c r="Z176">
        <v>610</v>
      </c>
      <c r="AA176">
        <v>620</v>
      </c>
      <c r="AB176">
        <v>660</v>
      </c>
      <c r="AC176">
        <v>660</v>
      </c>
      <c r="AD176">
        <v>720</v>
      </c>
      <c r="AE176">
        <v>730</v>
      </c>
      <c r="AF176">
        <v>910</v>
      </c>
      <c r="AG176">
        <v>1030</v>
      </c>
      <c r="AH176">
        <v>1150</v>
      </c>
      <c r="AI176">
        <v>230</v>
      </c>
      <c r="AJ176">
        <v>350</v>
      </c>
      <c r="AK176">
        <v>400</v>
      </c>
      <c r="AL176">
        <v>410</v>
      </c>
      <c r="AM176">
        <v>410</v>
      </c>
      <c r="AN176">
        <v>430</v>
      </c>
      <c r="AO176">
        <v>450</v>
      </c>
      <c r="AP176">
        <v>780</v>
      </c>
    </row>
    <row r="177" spans="1:39" x14ac:dyDescent="0.2">
      <c r="A177">
        <v>176</v>
      </c>
      <c r="B177" t="s">
        <v>351</v>
      </c>
      <c r="C177" t="s">
        <v>351</v>
      </c>
      <c r="D177" t="s">
        <v>352</v>
      </c>
      <c r="E177" t="s">
        <v>360</v>
      </c>
      <c r="F177" t="s">
        <v>354</v>
      </c>
      <c r="G177" t="s">
        <v>361</v>
      </c>
      <c r="H177">
        <v>302.30769229999999</v>
      </c>
      <c r="I177">
        <v>6666.4615379999996</v>
      </c>
      <c r="J177">
        <f t="shared" si="4"/>
        <v>0.27008377230001884</v>
      </c>
      <c r="K177">
        <f t="shared" si="5"/>
        <v>0.26074123085080575</v>
      </c>
      <c r="L177">
        <v>26</v>
      </c>
      <c r="M177" t="s">
        <v>154</v>
      </c>
      <c r="N177">
        <v>180</v>
      </c>
      <c r="O177">
        <v>190</v>
      </c>
      <c r="P177">
        <v>190</v>
      </c>
      <c r="Q177">
        <v>240</v>
      </c>
      <c r="R177">
        <v>240</v>
      </c>
      <c r="S177">
        <v>240</v>
      </c>
      <c r="T177">
        <v>250</v>
      </c>
      <c r="U177">
        <v>250</v>
      </c>
      <c r="V177">
        <v>270</v>
      </c>
      <c r="W177">
        <v>270</v>
      </c>
      <c r="X177">
        <v>270</v>
      </c>
      <c r="Y177">
        <v>290</v>
      </c>
      <c r="Z177">
        <v>300</v>
      </c>
      <c r="AA177">
        <v>300</v>
      </c>
      <c r="AB177">
        <v>300</v>
      </c>
      <c r="AC177">
        <v>300</v>
      </c>
      <c r="AD177">
        <v>320</v>
      </c>
      <c r="AE177">
        <v>360</v>
      </c>
      <c r="AF177">
        <v>380</v>
      </c>
      <c r="AG177">
        <v>470</v>
      </c>
      <c r="AH177">
        <v>480</v>
      </c>
      <c r="AI177">
        <v>490</v>
      </c>
      <c r="AJ177">
        <v>310</v>
      </c>
      <c r="AK177">
        <v>320</v>
      </c>
      <c r="AL177">
        <v>320</v>
      </c>
      <c r="AM177">
        <v>330</v>
      </c>
    </row>
    <row r="178" spans="1:39" x14ac:dyDescent="0.2">
      <c r="A178">
        <v>177</v>
      </c>
      <c r="B178" t="s">
        <v>351</v>
      </c>
      <c r="C178" t="s">
        <v>351</v>
      </c>
      <c r="D178" t="s">
        <v>352</v>
      </c>
      <c r="E178" t="s">
        <v>360</v>
      </c>
      <c r="F178" t="s">
        <v>354</v>
      </c>
      <c r="G178" t="s">
        <v>362</v>
      </c>
      <c r="H178">
        <v>353.80952380000002</v>
      </c>
      <c r="I178">
        <v>62154.761899999998</v>
      </c>
      <c r="J178">
        <f t="shared" si="4"/>
        <v>0.70464063534795729</v>
      </c>
      <c r="K178">
        <f t="shared" si="5"/>
        <v>0.57600552669957061</v>
      </c>
      <c r="L178">
        <v>21</v>
      </c>
      <c r="M178" t="s">
        <v>154</v>
      </c>
      <c r="N178">
        <v>210</v>
      </c>
      <c r="O178">
        <v>210</v>
      </c>
      <c r="P178">
        <v>220</v>
      </c>
      <c r="Q178">
        <v>250</v>
      </c>
      <c r="R178">
        <v>260</v>
      </c>
      <c r="S178">
        <v>260</v>
      </c>
      <c r="T178">
        <v>290</v>
      </c>
      <c r="U178">
        <v>290</v>
      </c>
      <c r="V178">
        <v>290</v>
      </c>
      <c r="W178">
        <v>300</v>
      </c>
      <c r="X178">
        <v>310</v>
      </c>
      <c r="Y178">
        <v>320</v>
      </c>
      <c r="Z178">
        <v>330</v>
      </c>
      <c r="AA178">
        <v>350</v>
      </c>
      <c r="AB178">
        <v>360</v>
      </c>
      <c r="AC178">
        <v>380</v>
      </c>
      <c r="AD178">
        <v>470</v>
      </c>
      <c r="AE178">
        <v>1410</v>
      </c>
      <c r="AF178">
        <v>300</v>
      </c>
      <c r="AG178">
        <v>300</v>
      </c>
      <c r="AH178">
        <v>320</v>
      </c>
    </row>
    <row r="179" spans="1:39" x14ac:dyDescent="0.2">
      <c r="A179">
        <v>178</v>
      </c>
      <c r="B179" t="s">
        <v>351</v>
      </c>
      <c r="C179" t="s">
        <v>351</v>
      </c>
      <c r="D179" t="s">
        <v>352</v>
      </c>
      <c r="E179" t="s">
        <v>363</v>
      </c>
      <c r="F179" t="s">
        <v>354</v>
      </c>
      <c r="G179" t="s">
        <v>364</v>
      </c>
      <c r="H179">
        <v>1590.8869500000001</v>
      </c>
      <c r="I179">
        <v>2133765.21</v>
      </c>
      <c r="J179">
        <f t="shared" si="4"/>
        <v>0.91819303820993536</v>
      </c>
      <c r="K179">
        <f t="shared" si="5"/>
        <v>0.67633534545293261</v>
      </c>
      <c r="L179">
        <v>20</v>
      </c>
      <c r="M179" t="s">
        <v>154</v>
      </c>
      <c r="N179">
        <v>420</v>
      </c>
      <c r="O179">
        <v>460</v>
      </c>
      <c r="P179">
        <v>550</v>
      </c>
      <c r="Q179">
        <v>730</v>
      </c>
      <c r="R179">
        <v>830</v>
      </c>
      <c r="S179">
        <v>1320</v>
      </c>
      <c r="T179">
        <v>1330</v>
      </c>
      <c r="U179">
        <v>1360</v>
      </c>
      <c r="V179">
        <v>1377.739</v>
      </c>
      <c r="W179">
        <v>1400</v>
      </c>
      <c r="X179">
        <v>1430</v>
      </c>
      <c r="Y179">
        <v>1670</v>
      </c>
      <c r="Z179">
        <v>1710</v>
      </c>
      <c r="AA179">
        <v>1760</v>
      </c>
      <c r="AB179">
        <v>1830</v>
      </c>
      <c r="AC179">
        <v>1880</v>
      </c>
      <c r="AD179">
        <v>2100</v>
      </c>
      <c r="AE179">
        <v>2130</v>
      </c>
      <c r="AF179">
        <v>7300</v>
      </c>
      <c r="AG179">
        <v>230</v>
      </c>
    </row>
    <row r="180" spans="1:39" x14ac:dyDescent="0.2">
      <c r="A180">
        <v>179</v>
      </c>
      <c r="B180" t="s">
        <v>351</v>
      </c>
      <c r="C180" t="s">
        <v>351</v>
      </c>
      <c r="D180" t="s">
        <v>352</v>
      </c>
      <c r="E180" t="s">
        <v>363</v>
      </c>
      <c r="F180" t="s">
        <v>354</v>
      </c>
      <c r="G180" t="s">
        <v>365</v>
      </c>
      <c r="H180">
        <v>1367.5</v>
      </c>
      <c r="I180">
        <v>411377.63160000002</v>
      </c>
      <c r="J180">
        <f t="shared" si="4"/>
        <v>0.46902177049745308</v>
      </c>
      <c r="K180">
        <f t="shared" si="5"/>
        <v>0.4246355923206892</v>
      </c>
      <c r="L180">
        <v>20</v>
      </c>
      <c r="M180" t="s">
        <v>154</v>
      </c>
      <c r="N180">
        <v>2670</v>
      </c>
      <c r="O180">
        <v>80</v>
      </c>
      <c r="P180">
        <v>210</v>
      </c>
      <c r="Q180">
        <v>660</v>
      </c>
      <c r="R180">
        <v>960</v>
      </c>
      <c r="S180">
        <v>1000</v>
      </c>
      <c r="T180">
        <v>1330</v>
      </c>
      <c r="U180">
        <v>1430</v>
      </c>
      <c r="V180">
        <v>1550</v>
      </c>
      <c r="W180">
        <v>1580</v>
      </c>
      <c r="X180">
        <v>1640</v>
      </c>
      <c r="Y180">
        <v>1670</v>
      </c>
      <c r="Z180">
        <v>1680</v>
      </c>
      <c r="AA180">
        <v>1740</v>
      </c>
      <c r="AB180">
        <v>1750</v>
      </c>
      <c r="AC180">
        <v>1750</v>
      </c>
      <c r="AD180">
        <v>1760</v>
      </c>
      <c r="AE180">
        <v>1770</v>
      </c>
      <c r="AF180">
        <v>1780</v>
      </c>
      <c r="AG180">
        <v>340</v>
      </c>
    </row>
    <row r="181" spans="1:39" x14ac:dyDescent="0.2">
      <c r="A181">
        <v>180</v>
      </c>
      <c r="B181" t="s">
        <v>351</v>
      </c>
      <c r="C181" t="s">
        <v>351</v>
      </c>
      <c r="D181" t="s">
        <v>352</v>
      </c>
      <c r="E181" t="s">
        <v>366</v>
      </c>
      <c r="F181" t="s">
        <v>354</v>
      </c>
      <c r="G181" t="s">
        <v>367</v>
      </c>
      <c r="H181">
        <v>668.42105260000005</v>
      </c>
      <c r="I181">
        <v>96402.923980000007</v>
      </c>
      <c r="J181">
        <f t="shared" si="4"/>
        <v>0.46450990948669296</v>
      </c>
      <c r="K181">
        <f t="shared" si="5"/>
        <v>0.42127857152840453</v>
      </c>
      <c r="L181">
        <v>19</v>
      </c>
      <c r="M181" t="s">
        <v>154</v>
      </c>
      <c r="N181">
        <v>110</v>
      </c>
      <c r="O181">
        <v>150</v>
      </c>
      <c r="P181">
        <v>600</v>
      </c>
      <c r="Q181">
        <v>740</v>
      </c>
      <c r="R181">
        <v>770</v>
      </c>
      <c r="S181">
        <v>840</v>
      </c>
      <c r="T181">
        <v>840</v>
      </c>
      <c r="U181">
        <v>880</v>
      </c>
      <c r="V181">
        <v>980</v>
      </c>
      <c r="W181">
        <v>190</v>
      </c>
      <c r="X181">
        <v>240</v>
      </c>
      <c r="Y181">
        <v>510</v>
      </c>
      <c r="Z181">
        <v>520</v>
      </c>
      <c r="AA181">
        <v>640</v>
      </c>
      <c r="AB181">
        <v>700</v>
      </c>
      <c r="AC181">
        <v>860</v>
      </c>
      <c r="AD181">
        <v>990</v>
      </c>
      <c r="AE181">
        <v>1000</v>
      </c>
      <c r="AF181">
        <v>1140</v>
      </c>
    </row>
    <row r="182" spans="1:39" x14ac:dyDescent="0.2">
      <c r="A182">
        <v>181</v>
      </c>
      <c r="B182" t="s">
        <v>351</v>
      </c>
      <c r="C182" t="s">
        <v>351</v>
      </c>
      <c r="D182" t="s">
        <v>352</v>
      </c>
      <c r="E182" t="s">
        <v>358</v>
      </c>
      <c r="F182" t="s">
        <v>354</v>
      </c>
      <c r="G182" t="s">
        <v>368</v>
      </c>
      <c r="H182">
        <v>898.06164709999996</v>
      </c>
      <c r="I182">
        <v>103110.0926</v>
      </c>
      <c r="J182">
        <f t="shared" si="4"/>
        <v>0.3575563034835551</v>
      </c>
      <c r="K182">
        <f t="shared" si="5"/>
        <v>0.3366816436823129</v>
      </c>
      <c r="L182">
        <v>17</v>
      </c>
      <c r="M182" t="s">
        <v>154</v>
      </c>
      <c r="N182">
        <v>740</v>
      </c>
      <c r="O182">
        <v>940</v>
      </c>
      <c r="P182">
        <v>980</v>
      </c>
      <c r="Q182">
        <v>1180</v>
      </c>
      <c r="R182">
        <v>1340</v>
      </c>
      <c r="S182">
        <v>1487.048</v>
      </c>
      <c r="T182">
        <v>310</v>
      </c>
      <c r="U182">
        <v>480</v>
      </c>
      <c r="V182">
        <v>560</v>
      </c>
      <c r="W182">
        <v>630</v>
      </c>
      <c r="X182">
        <v>710</v>
      </c>
      <c r="Y182">
        <v>800</v>
      </c>
      <c r="Z182">
        <v>890</v>
      </c>
      <c r="AA182">
        <v>900</v>
      </c>
      <c r="AB182">
        <v>960</v>
      </c>
      <c r="AC182">
        <v>980</v>
      </c>
      <c r="AD182">
        <v>1380</v>
      </c>
    </row>
    <row r="183" spans="1:39" x14ac:dyDescent="0.2">
      <c r="A183">
        <v>182</v>
      </c>
      <c r="B183" t="s">
        <v>351</v>
      </c>
      <c r="C183" t="s">
        <v>351</v>
      </c>
      <c r="D183" t="s">
        <v>352</v>
      </c>
      <c r="E183" t="s">
        <v>369</v>
      </c>
      <c r="F183" t="s">
        <v>354</v>
      </c>
      <c r="G183" t="s">
        <v>370</v>
      </c>
      <c r="H183">
        <v>629.33333330000005</v>
      </c>
      <c r="I183">
        <v>147006.6667</v>
      </c>
      <c r="J183">
        <f t="shared" si="4"/>
        <v>0.60923911688719268</v>
      </c>
      <c r="K183">
        <f t="shared" si="5"/>
        <v>0.52028554973584629</v>
      </c>
      <c r="L183">
        <v>15</v>
      </c>
      <c r="M183" t="s">
        <v>154</v>
      </c>
      <c r="N183">
        <v>360</v>
      </c>
      <c r="O183">
        <v>580</v>
      </c>
      <c r="P183">
        <v>240</v>
      </c>
      <c r="Q183">
        <v>250</v>
      </c>
      <c r="R183">
        <v>350</v>
      </c>
      <c r="S183">
        <v>360</v>
      </c>
      <c r="T183">
        <v>370</v>
      </c>
      <c r="U183">
        <v>550</v>
      </c>
      <c r="V183">
        <v>620</v>
      </c>
      <c r="W183">
        <v>640</v>
      </c>
      <c r="X183">
        <v>680</v>
      </c>
      <c r="Y183">
        <v>700</v>
      </c>
      <c r="Z183">
        <v>810</v>
      </c>
      <c r="AA183">
        <v>1350</v>
      </c>
      <c r="AB183">
        <v>1580</v>
      </c>
    </row>
    <row r="184" spans="1:39" x14ac:dyDescent="0.2">
      <c r="A184">
        <v>183</v>
      </c>
      <c r="B184" t="s">
        <v>351</v>
      </c>
      <c r="C184" t="s">
        <v>351</v>
      </c>
      <c r="D184" t="s">
        <v>352</v>
      </c>
      <c r="E184" t="s">
        <v>371</v>
      </c>
      <c r="F184" t="s">
        <v>354</v>
      </c>
      <c r="G184" t="s">
        <v>372</v>
      </c>
      <c r="H184">
        <v>238.44923080000001</v>
      </c>
      <c r="I184">
        <v>22116.730169999999</v>
      </c>
      <c r="J184">
        <f t="shared" si="4"/>
        <v>0.62368390109679084</v>
      </c>
      <c r="K184">
        <f t="shared" si="5"/>
        <v>0.52919567518192345</v>
      </c>
      <c r="L184">
        <v>13</v>
      </c>
      <c r="M184" t="s">
        <v>154</v>
      </c>
      <c r="N184">
        <v>200</v>
      </c>
      <c r="O184">
        <v>240</v>
      </c>
      <c r="P184">
        <v>280</v>
      </c>
      <c r="Q184">
        <v>370</v>
      </c>
      <c r="R184">
        <v>370</v>
      </c>
      <c r="S184">
        <v>520</v>
      </c>
      <c r="T184">
        <v>30</v>
      </c>
      <c r="U184">
        <v>40</v>
      </c>
      <c r="V184">
        <v>70</v>
      </c>
      <c r="W184">
        <v>139.84</v>
      </c>
      <c r="X184">
        <v>170</v>
      </c>
      <c r="Y184">
        <v>290</v>
      </c>
      <c r="Z184">
        <v>380</v>
      </c>
    </row>
    <row r="185" spans="1:39" x14ac:dyDescent="0.2">
      <c r="A185">
        <v>184</v>
      </c>
      <c r="B185" t="s">
        <v>351</v>
      </c>
      <c r="C185" t="s">
        <v>351</v>
      </c>
      <c r="D185" t="s">
        <v>352</v>
      </c>
      <c r="E185" t="s">
        <v>373</v>
      </c>
      <c r="F185" t="s">
        <v>354</v>
      </c>
      <c r="G185" t="s">
        <v>374</v>
      </c>
      <c r="H185">
        <v>723.07692310000004</v>
      </c>
      <c r="I185">
        <v>125856.4103</v>
      </c>
      <c r="J185">
        <f t="shared" si="4"/>
        <v>0.49062894820655473</v>
      </c>
      <c r="K185">
        <f t="shared" si="5"/>
        <v>0.44047051658041692</v>
      </c>
      <c r="L185">
        <v>13</v>
      </c>
      <c r="M185" t="s">
        <v>154</v>
      </c>
      <c r="N185">
        <v>480</v>
      </c>
      <c r="O185">
        <v>530</v>
      </c>
      <c r="P185">
        <v>860</v>
      </c>
      <c r="Q185">
        <v>1470</v>
      </c>
      <c r="R185">
        <v>450</v>
      </c>
      <c r="S185">
        <v>460</v>
      </c>
      <c r="T185">
        <v>500</v>
      </c>
      <c r="U185">
        <v>500</v>
      </c>
      <c r="V185">
        <v>550</v>
      </c>
      <c r="W185">
        <v>650</v>
      </c>
      <c r="X185">
        <v>730</v>
      </c>
      <c r="Y185">
        <v>750</v>
      </c>
      <c r="Z185">
        <v>1470</v>
      </c>
    </row>
    <row r="186" spans="1:39" x14ac:dyDescent="0.2">
      <c r="A186">
        <v>185</v>
      </c>
      <c r="B186" t="s">
        <v>351</v>
      </c>
      <c r="C186" t="s">
        <v>351</v>
      </c>
      <c r="D186" t="s">
        <v>352</v>
      </c>
      <c r="E186" t="s">
        <v>358</v>
      </c>
      <c r="F186" t="s">
        <v>354</v>
      </c>
      <c r="G186" t="s">
        <v>375</v>
      </c>
      <c r="H186">
        <v>672.30769229999999</v>
      </c>
      <c r="I186">
        <v>54402.564100000003</v>
      </c>
      <c r="J186">
        <f t="shared" si="4"/>
        <v>0.34692979887695607</v>
      </c>
      <c r="K186">
        <f t="shared" si="5"/>
        <v>0.32776513245583883</v>
      </c>
      <c r="L186">
        <v>13</v>
      </c>
      <c r="M186" t="s">
        <v>154</v>
      </c>
      <c r="N186">
        <v>510</v>
      </c>
      <c r="O186">
        <v>580</v>
      </c>
      <c r="P186">
        <v>670</v>
      </c>
      <c r="Q186">
        <v>720</v>
      </c>
      <c r="R186">
        <v>830</v>
      </c>
      <c r="S186">
        <v>900</v>
      </c>
      <c r="T186">
        <v>980</v>
      </c>
      <c r="U186">
        <v>1050</v>
      </c>
      <c r="V186">
        <v>210</v>
      </c>
      <c r="W186">
        <v>470</v>
      </c>
      <c r="X186">
        <v>470</v>
      </c>
      <c r="Y186">
        <v>620</v>
      </c>
      <c r="Z186">
        <v>730</v>
      </c>
    </row>
    <row r="187" spans="1:39" x14ac:dyDescent="0.2">
      <c r="A187">
        <v>186</v>
      </c>
      <c r="B187" t="s">
        <v>351</v>
      </c>
      <c r="C187" t="s">
        <v>351</v>
      </c>
      <c r="D187" t="s">
        <v>352</v>
      </c>
      <c r="E187" t="s">
        <v>376</v>
      </c>
      <c r="F187" t="s">
        <v>354</v>
      </c>
      <c r="G187" t="s">
        <v>377</v>
      </c>
      <c r="H187">
        <v>1230.769231</v>
      </c>
      <c r="I187">
        <v>210474.359</v>
      </c>
      <c r="J187">
        <f t="shared" si="4"/>
        <v>0.37275456201968743</v>
      </c>
      <c r="K187">
        <f t="shared" si="5"/>
        <v>0.34927814146567249</v>
      </c>
      <c r="L187">
        <v>13</v>
      </c>
      <c r="M187" t="s">
        <v>154</v>
      </c>
      <c r="N187">
        <v>1270</v>
      </c>
      <c r="O187">
        <v>1590</v>
      </c>
      <c r="P187">
        <v>1610</v>
      </c>
      <c r="Q187">
        <v>1790</v>
      </c>
      <c r="R187">
        <v>1800</v>
      </c>
      <c r="S187">
        <v>1890</v>
      </c>
      <c r="T187">
        <v>650</v>
      </c>
      <c r="U187">
        <v>660</v>
      </c>
      <c r="V187">
        <v>740</v>
      </c>
      <c r="W187">
        <v>810</v>
      </c>
      <c r="X187">
        <v>970</v>
      </c>
      <c r="Y187">
        <v>1080</v>
      </c>
      <c r="Z187">
        <v>1140</v>
      </c>
    </row>
    <row r="188" spans="1:39" x14ac:dyDescent="0.2">
      <c r="A188">
        <v>187</v>
      </c>
      <c r="B188" t="s">
        <v>351</v>
      </c>
      <c r="C188" t="s">
        <v>351</v>
      </c>
      <c r="D188" t="s">
        <v>352</v>
      </c>
      <c r="E188" t="s">
        <v>358</v>
      </c>
      <c r="F188" t="s">
        <v>354</v>
      </c>
      <c r="G188" t="s">
        <v>378</v>
      </c>
      <c r="H188">
        <v>204.66666670000001</v>
      </c>
      <c r="I188">
        <v>66584.787880000003</v>
      </c>
      <c r="J188">
        <f t="shared" si="4"/>
        <v>1.2607831436591797</v>
      </c>
      <c r="K188">
        <f t="shared" si="5"/>
        <v>0.78347694179195115</v>
      </c>
      <c r="L188">
        <v>12</v>
      </c>
      <c r="M188" t="s">
        <v>154</v>
      </c>
      <c r="N188">
        <v>1</v>
      </c>
      <c r="O188">
        <v>20</v>
      </c>
      <c r="P188">
        <v>50</v>
      </c>
      <c r="Q188">
        <v>60</v>
      </c>
      <c r="R188">
        <v>82</v>
      </c>
      <c r="S188">
        <v>105</v>
      </c>
      <c r="T188">
        <v>150</v>
      </c>
      <c r="U188">
        <v>160</v>
      </c>
      <c r="V188">
        <v>170</v>
      </c>
      <c r="W188">
        <v>188</v>
      </c>
      <c r="X188">
        <v>640</v>
      </c>
      <c r="Y188">
        <v>830</v>
      </c>
    </row>
    <row r="189" spans="1:39" x14ac:dyDescent="0.2">
      <c r="A189">
        <v>188</v>
      </c>
      <c r="B189" t="s">
        <v>351</v>
      </c>
      <c r="C189" t="s">
        <v>351</v>
      </c>
      <c r="D189" t="s">
        <v>352</v>
      </c>
      <c r="E189" t="s">
        <v>358</v>
      </c>
      <c r="F189" t="s">
        <v>354</v>
      </c>
      <c r="G189" t="s">
        <v>379</v>
      </c>
      <c r="H189">
        <v>557.5</v>
      </c>
      <c r="I189">
        <v>20820.454549999999</v>
      </c>
      <c r="J189">
        <f t="shared" si="4"/>
        <v>0.25882142957189336</v>
      </c>
      <c r="K189">
        <f t="shared" si="5"/>
        <v>0.25056497056380267</v>
      </c>
      <c r="L189">
        <v>12</v>
      </c>
      <c r="M189" t="s">
        <v>154</v>
      </c>
      <c r="N189">
        <v>340</v>
      </c>
      <c r="O189">
        <v>370</v>
      </c>
      <c r="P189">
        <v>450</v>
      </c>
      <c r="Q189">
        <v>480</v>
      </c>
      <c r="R189">
        <v>480</v>
      </c>
      <c r="S189">
        <v>510</v>
      </c>
      <c r="T189">
        <v>570</v>
      </c>
      <c r="U189">
        <v>580</v>
      </c>
      <c r="V189">
        <v>690</v>
      </c>
      <c r="W189">
        <v>710</v>
      </c>
      <c r="X189">
        <v>730</v>
      </c>
      <c r="Y189">
        <v>780</v>
      </c>
    </row>
    <row r="190" spans="1:39" x14ac:dyDescent="0.2">
      <c r="A190">
        <v>189</v>
      </c>
      <c r="B190" t="s">
        <v>351</v>
      </c>
      <c r="C190" t="s">
        <v>351</v>
      </c>
      <c r="D190" t="s">
        <v>352</v>
      </c>
      <c r="E190" t="s">
        <v>363</v>
      </c>
      <c r="F190" t="s">
        <v>354</v>
      </c>
      <c r="G190" t="s">
        <v>380</v>
      </c>
      <c r="H190">
        <v>1669.166667</v>
      </c>
      <c r="I190">
        <v>373244.69699999999</v>
      </c>
      <c r="J190">
        <f t="shared" si="4"/>
        <v>0.36601351309449415</v>
      </c>
      <c r="K190">
        <f t="shared" si="5"/>
        <v>0.34371392231917752</v>
      </c>
      <c r="L190">
        <v>12</v>
      </c>
      <c r="M190" t="s">
        <v>154</v>
      </c>
      <c r="N190">
        <v>770</v>
      </c>
      <c r="O190">
        <v>1460</v>
      </c>
      <c r="P190">
        <v>1710</v>
      </c>
      <c r="Q190">
        <v>1770</v>
      </c>
      <c r="R190">
        <v>1820</v>
      </c>
      <c r="S190">
        <v>2070</v>
      </c>
      <c r="T190">
        <v>2080</v>
      </c>
      <c r="U190">
        <v>2180</v>
      </c>
      <c r="V190">
        <v>2190</v>
      </c>
      <c r="W190">
        <v>2230</v>
      </c>
      <c r="X190">
        <v>250</v>
      </c>
      <c r="Y190">
        <v>1500</v>
      </c>
    </row>
    <row r="191" spans="1:39" x14ac:dyDescent="0.2">
      <c r="A191">
        <v>190</v>
      </c>
      <c r="B191" t="s">
        <v>351</v>
      </c>
      <c r="C191" t="s">
        <v>351</v>
      </c>
      <c r="D191" t="s">
        <v>352</v>
      </c>
      <c r="E191" t="s">
        <v>381</v>
      </c>
      <c r="F191" t="s">
        <v>354</v>
      </c>
      <c r="G191" t="s">
        <v>382</v>
      </c>
      <c r="H191">
        <v>766.36363640000002</v>
      </c>
      <c r="I191">
        <v>108505.45450000001</v>
      </c>
      <c r="J191">
        <f t="shared" si="4"/>
        <v>0.42982423187137975</v>
      </c>
      <c r="K191">
        <f t="shared" si="5"/>
        <v>0.39489146218522714</v>
      </c>
      <c r="L191">
        <v>11</v>
      </c>
      <c r="M191" t="s">
        <v>154</v>
      </c>
      <c r="N191">
        <v>500</v>
      </c>
      <c r="O191">
        <v>610</v>
      </c>
      <c r="P191">
        <v>630</v>
      </c>
      <c r="Q191">
        <v>710</v>
      </c>
      <c r="R191">
        <v>730</v>
      </c>
      <c r="S191">
        <v>740</v>
      </c>
      <c r="T191">
        <v>750</v>
      </c>
      <c r="U191">
        <v>750</v>
      </c>
      <c r="V191">
        <v>760</v>
      </c>
      <c r="W191">
        <v>530</v>
      </c>
      <c r="X191">
        <v>1720</v>
      </c>
    </row>
    <row r="192" spans="1:39" x14ac:dyDescent="0.2">
      <c r="A192">
        <v>191</v>
      </c>
      <c r="B192" t="s">
        <v>351</v>
      </c>
      <c r="C192" t="s">
        <v>351</v>
      </c>
      <c r="D192" t="s">
        <v>352</v>
      </c>
      <c r="E192" t="s">
        <v>383</v>
      </c>
      <c r="F192" t="s">
        <v>354</v>
      </c>
      <c r="G192" t="s">
        <v>384</v>
      </c>
      <c r="H192">
        <v>447.27272729999999</v>
      </c>
      <c r="I192">
        <v>98881.818180000002</v>
      </c>
      <c r="J192">
        <f t="shared" si="4"/>
        <v>0.70304933866152608</v>
      </c>
      <c r="K192">
        <f t="shared" si="5"/>
        <v>0.57513533261314065</v>
      </c>
      <c r="L192">
        <v>11</v>
      </c>
      <c r="M192" t="s">
        <v>154</v>
      </c>
      <c r="N192">
        <v>10</v>
      </c>
      <c r="O192">
        <v>90</v>
      </c>
      <c r="P192">
        <v>230</v>
      </c>
      <c r="Q192">
        <v>330</v>
      </c>
      <c r="R192">
        <v>380</v>
      </c>
      <c r="S192">
        <v>390</v>
      </c>
      <c r="T192">
        <v>440</v>
      </c>
      <c r="U192">
        <v>470</v>
      </c>
      <c r="V192">
        <v>700</v>
      </c>
      <c r="W192">
        <v>780</v>
      </c>
      <c r="X192">
        <v>1100</v>
      </c>
    </row>
    <row r="193" spans="1:64" x14ac:dyDescent="0.2">
      <c r="A193">
        <v>192</v>
      </c>
      <c r="B193" t="s">
        <v>351</v>
      </c>
      <c r="C193" t="s">
        <v>351</v>
      </c>
      <c r="D193" t="s">
        <v>352</v>
      </c>
      <c r="E193" t="s">
        <v>385</v>
      </c>
      <c r="F193" t="s">
        <v>354</v>
      </c>
      <c r="G193" t="s">
        <v>386</v>
      </c>
      <c r="H193">
        <v>187.6470588</v>
      </c>
      <c r="I193">
        <v>7856.617647</v>
      </c>
      <c r="J193">
        <f t="shared" si="4"/>
        <v>0.47236319063756815</v>
      </c>
      <c r="K193">
        <f t="shared" si="5"/>
        <v>0.42711052514175124</v>
      </c>
      <c r="L193">
        <v>17</v>
      </c>
      <c r="M193" t="s">
        <v>154</v>
      </c>
      <c r="N193">
        <v>10</v>
      </c>
      <c r="O193">
        <v>70</v>
      </c>
      <c r="P193">
        <v>110</v>
      </c>
      <c r="Q193">
        <v>120</v>
      </c>
      <c r="R193">
        <v>120</v>
      </c>
      <c r="S193">
        <v>130</v>
      </c>
      <c r="T193">
        <v>160</v>
      </c>
      <c r="U193">
        <v>160</v>
      </c>
      <c r="V193">
        <v>180</v>
      </c>
      <c r="W193">
        <v>220</v>
      </c>
      <c r="X193">
        <v>230</v>
      </c>
      <c r="Y193">
        <v>240</v>
      </c>
      <c r="Z193">
        <v>250</v>
      </c>
      <c r="AA193">
        <v>260</v>
      </c>
      <c r="AB193">
        <v>290</v>
      </c>
      <c r="AC193">
        <v>320</v>
      </c>
      <c r="AD193">
        <v>320</v>
      </c>
    </row>
    <row r="194" spans="1:64" x14ac:dyDescent="0.2">
      <c r="A194">
        <v>193</v>
      </c>
      <c r="B194" t="s">
        <v>351</v>
      </c>
      <c r="C194" t="s">
        <v>351</v>
      </c>
      <c r="D194" t="s">
        <v>352</v>
      </c>
      <c r="E194" t="s">
        <v>387</v>
      </c>
      <c r="F194" t="s">
        <v>354</v>
      </c>
      <c r="G194" t="s">
        <v>388</v>
      </c>
      <c r="H194">
        <v>382.02429210000003</v>
      </c>
      <c r="I194">
        <v>25245.527529999999</v>
      </c>
      <c r="J194">
        <f t="shared" si="4"/>
        <v>0.41591180320513871</v>
      </c>
      <c r="K194">
        <f t="shared" si="5"/>
        <v>0.38402142542236056</v>
      </c>
      <c r="L194">
        <v>38</v>
      </c>
      <c r="M194" t="s">
        <v>154</v>
      </c>
      <c r="N194">
        <v>40</v>
      </c>
      <c r="O194">
        <v>70</v>
      </c>
      <c r="P194">
        <v>200</v>
      </c>
      <c r="Q194">
        <v>230</v>
      </c>
      <c r="R194">
        <v>240</v>
      </c>
      <c r="S194">
        <v>280</v>
      </c>
      <c r="T194">
        <v>280</v>
      </c>
      <c r="U194">
        <v>280</v>
      </c>
      <c r="V194">
        <v>306.92309999999998</v>
      </c>
      <c r="W194">
        <v>310</v>
      </c>
      <c r="X194">
        <v>320</v>
      </c>
      <c r="Y194">
        <v>320</v>
      </c>
      <c r="Z194">
        <v>330</v>
      </c>
      <c r="AA194">
        <v>340</v>
      </c>
      <c r="AB194">
        <v>350</v>
      </c>
      <c r="AC194">
        <v>350</v>
      </c>
      <c r="AD194">
        <v>350</v>
      </c>
      <c r="AE194">
        <v>360</v>
      </c>
      <c r="AF194">
        <v>390</v>
      </c>
      <c r="AG194">
        <v>400</v>
      </c>
      <c r="AH194">
        <v>410</v>
      </c>
      <c r="AI194">
        <v>430</v>
      </c>
      <c r="AJ194">
        <v>440</v>
      </c>
      <c r="AK194">
        <v>480</v>
      </c>
      <c r="AL194">
        <v>520</v>
      </c>
      <c r="AM194">
        <v>680</v>
      </c>
      <c r="AN194">
        <v>700</v>
      </c>
      <c r="AO194">
        <v>250</v>
      </c>
      <c r="AP194">
        <v>300</v>
      </c>
      <c r="AQ194">
        <v>330</v>
      </c>
      <c r="AR194">
        <v>360</v>
      </c>
      <c r="AS194">
        <v>400</v>
      </c>
      <c r="AT194">
        <v>420</v>
      </c>
      <c r="AU194">
        <v>420</v>
      </c>
      <c r="AV194">
        <v>560</v>
      </c>
      <c r="AW194">
        <v>600</v>
      </c>
      <c r="AX194">
        <v>710</v>
      </c>
      <c r="AY194">
        <v>760</v>
      </c>
    </row>
    <row r="195" spans="1:64" x14ac:dyDescent="0.2">
      <c r="A195">
        <v>194</v>
      </c>
      <c r="B195" t="s">
        <v>351</v>
      </c>
      <c r="C195" t="s">
        <v>351</v>
      </c>
      <c r="D195" t="s">
        <v>352</v>
      </c>
      <c r="E195" t="s">
        <v>389</v>
      </c>
      <c r="F195" t="s">
        <v>354</v>
      </c>
      <c r="G195" t="s">
        <v>390</v>
      </c>
      <c r="H195">
        <v>517.55515149999997</v>
      </c>
      <c r="I195">
        <v>80579.740380000003</v>
      </c>
      <c r="J195">
        <f t="shared" ref="J195:J258" si="6">SQRT(I195)/H195</f>
        <v>0.54847431724423856</v>
      </c>
      <c r="K195">
        <f t="shared" ref="K195:K258" si="7">SQRT(J195^2/(1+J195^2))</f>
        <v>0.48089140270530478</v>
      </c>
      <c r="L195">
        <v>33</v>
      </c>
      <c r="M195" t="s">
        <v>154</v>
      </c>
      <c r="N195">
        <v>110</v>
      </c>
      <c r="O195">
        <v>250</v>
      </c>
      <c r="P195">
        <v>250</v>
      </c>
      <c r="Q195">
        <v>330</v>
      </c>
      <c r="R195">
        <v>400</v>
      </c>
      <c r="S195">
        <v>510</v>
      </c>
      <c r="T195">
        <v>520</v>
      </c>
      <c r="U195">
        <v>620</v>
      </c>
      <c r="V195">
        <v>660</v>
      </c>
      <c r="W195">
        <v>670</v>
      </c>
      <c r="X195">
        <v>690</v>
      </c>
      <c r="Y195">
        <v>103</v>
      </c>
      <c r="Z195">
        <v>200</v>
      </c>
      <c r="AA195">
        <v>300</v>
      </c>
      <c r="AB195">
        <v>340</v>
      </c>
      <c r="AC195">
        <v>380</v>
      </c>
      <c r="AD195">
        <v>390</v>
      </c>
      <c r="AE195">
        <v>390</v>
      </c>
      <c r="AF195">
        <v>400</v>
      </c>
      <c r="AG195">
        <v>450</v>
      </c>
      <c r="AH195">
        <v>450</v>
      </c>
      <c r="AI195">
        <v>460</v>
      </c>
      <c r="AJ195">
        <v>470</v>
      </c>
      <c r="AK195">
        <v>480</v>
      </c>
      <c r="AL195">
        <v>550</v>
      </c>
      <c r="AM195">
        <v>560</v>
      </c>
      <c r="AN195">
        <v>570</v>
      </c>
      <c r="AO195">
        <v>580</v>
      </c>
      <c r="AP195">
        <v>670</v>
      </c>
      <c r="AQ195">
        <v>800</v>
      </c>
      <c r="AR195">
        <v>890</v>
      </c>
      <c r="AS195">
        <v>1026.32</v>
      </c>
      <c r="AT195">
        <v>1610</v>
      </c>
    </row>
    <row r="196" spans="1:64" x14ac:dyDescent="0.2">
      <c r="A196">
        <v>195</v>
      </c>
      <c r="B196" t="s">
        <v>351</v>
      </c>
      <c r="C196" t="s">
        <v>351</v>
      </c>
      <c r="D196" t="s">
        <v>352</v>
      </c>
      <c r="E196" t="s">
        <v>391</v>
      </c>
      <c r="F196" t="s">
        <v>354</v>
      </c>
      <c r="G196" t="s">
        <v>392</v>
      </c>
      <c r="H196">
        <v>356</v>
      </c>
      <c r="I196">
        <v>19349</v>
      </c>
      <c r="J196">
        <f t="shared" si="6"/>
        <v>0.39073225550623958</v>
      </c>
      <c r="K196">
        <f t="shared" si="7"/>
        <v>0.36393720034164967</v>
      </c>
      <c r="L196">
        <v>11</v>
      </c>
      <c r="M196" t="s">
        <v>154</v>
      </c>
      <c r="N196">
        <v>214</v>
      </c>
      <c r="O196">
        <v>280</v>
      </c>
      <c r="P196">
        <v>300</v>
      </c>
      <c r="Q196">
        <v>350</v>
      </c>
      <c r="R196">
        <v>410</v>
      </c>
      <c r="S196">
        <v>420</v>
      </c>
      <c r="T196">
        <v>500</v>
      </c>
      <c r="U196">
        <v>540</v>
      </c>
      <c r="V196">
        <v>550</v>
      </c>
      <c r="W196">
        <v>163</v>
      </c>
      <c r="X196">
        <v>189</v>
      </c>
    </row>
    <row r="197" spans="1:64" x14ac:dyDescent="0.2">
      <c r="A197">
        <v>196</v>
      </c>
      <c r="B197" t="s">
        <v>351</v>
      </c>
      <c r="C197" t="s">
        <v>351</v>
      </c>
      <c r="D197" t="s">
        <v>352</v>
      </c>
      <c r="E197" t="s">
        <v>393</v>
      </c>
      <c r="F197" t="s">
        <v>354</v>
      </c>
      <c r="G197" t="s">
        <v>394</v>
      </c>
      <c r="H197">
        <v>532.5</v>
      </c>
      <c r="I197">
        <v>81184.090909999999</v>
      </c>
      <c r="J197">
        <f t="shared" si="6"/>
        <v>0.53507647066212571</v>
      </c>
      <c r="K197">
        <f t="shared" si="7"/>
        <v>0.47178438876930279</v>
      </c>
      <c r="L197">
        <v>12</v>
      </c>
      <c r="M197" t="s">
        <v>154</v>
      </c>
      <c r="N197">
        <v>220</v>
      </c>
      <c r="O197">
        <v>280</v>
      </c>
      <c r="P197">
        <v>290</v>
      </c>
      <c r="Q197">
        <v>320</v>
      </c>
      <c r="R197">
        <v>390</v>
      </c>
      <c r="S197">
        <v>440</v>
      </c>
      <c r="T197">
        <v>700</v>
      </c>
      <c r="U197">
        <v>810</v>
      </c>
      <c r="V197">
        <v>900</v>
      </c>
      <c r="W197">
        <v>1010</v>
      </c>
      <c r="X197">
        <v>260</v>
      </c>
      <c r="Y197">
        <v>770</v>
      </c>
    </row>
    <row r="198" spans="1:64" x14ac:dyDescent="0.2">
      <c r="A198">
        <v>197</v>
      </c>
      <c r="B198" t="s">
        <v>351</v>
      </c>
      <c r="C198" t="s">
        <v>351</v>
      </c>
      <c r="D198" t="s">
        <v>352</v>
      </c>
      <c r="E198" t="s">
        <v>358</v>
      </c>
      <c r="F198" t="s">
        <v>354</v>
      </c>
      <c r="G198" t="s">
        <v>395</v>
      </c>
      <c r="H198">
        <v>1022.727273</v>
      </c>
      <c r="I198">
        <v>333706.49349999998</v>
      </c>
      <c r="J198">
        <f t="shared" si="6"/>
        <v>0.56483615938505372</v>
      </c>
      <c r="K198">
        <f t="shared" si="7"/>
        <v>0.4918056651434034</v>
      </c>
      <c r="L198">
        <v>22</v>
      </c>
      <c r="M198" t="s">
        <v>154</v>
      </c>
      <c r="N198">
        <v>50</v>
      </c>
      <c r="O198">
        <v>880</v>
      </c>
      <c r="P198">
        <v>950</v>
      </c>
      <c r="Q198">
        <v>1150</v>
      </c>
      <c r="R198">
        <v>1160</v>
      </c>
      <c r="S198">
        <v>1270</v>
      </c>
      <c r="T198">
        <v>190</v>
      </c>
      <c r="U198">
        <v>210</v>
      </c>
      <c r="V198">
        <v>450</v>
      </c>
      <c r="W198">
        <v>510</v>
      </c>
      <c r="X198">
        <v>680</v>
      </c>
      <c r="Y198">
        <v>740</v>
      </c>
      <c r="Z198">
        <v>870</v>
      </c>
      <c r="AA198">
        <v>1050</v>
      </c>
      <c r="AB198">
        <v>1060</v>
      </c>
      <c r="AC198">
        <v>1170</v>
      </c>
      <c r="AD198">
        <v>1220</v>
      </c>
      <c r="AE198">
        <v>1250</v>
      </c>
      <c r="AF198">
        <v>1460</v>
      </c>
      <c r="AG198">
        <v>1760</v>
      </c>
      <c r="AH198">
        <v>1980</v>
      </c>
      <c r="AI198">
        <v>2440</v>
      </c>
    </row>
    <row r="199" spans="1:64" x14ac:dyDescent="0.2">
      <c r="A199">
        <v>198</v>
      </c>
      <c r="B199" t="s">
        <v>351</v>
      </c>
      <c r="C199" t="s">
        <v>351</v>
      </c>
      <c r="D199" t="s">
        <v>352</v>
      </c>
      <c r="E199" t="s">
        <v>376</v>
      </c>
      <c r="F199" t="s">
        <v>354</v>
      </c>
      <c r="G199" t="s">
        <v>396</v>
      </c>
      <c r="H199">
        <v>1293.5</v>
      </c>
      <c r="I199">
        <v>642981.61109999998</v>
      </c>
      <c r="J199">
        <f t="shared" si="6"/>
        <v>0.61991599657304319</v>
      </c>
      <c r="K199">
        <f t="shared" si="7"/>
        <v>0.52688809506245793</v>
      </c>
      <c r="L199">
        <v>10</v>
      </c>
      <c r="M199" t="s">
        <v>154</v>
      </c>
      <c r="N199">
        <v>376</v>
      </c>
      <c r="O199">
        <v>459</v>
      </c>
      <c r="P199">
        <v>890</v>
      </c>
      <c r="Q199">
        <v>1000</v>
      </c>
      <c r="R199">
        <v>1590</v>
      </c>
      <c r="S199">
        <v>2000</v>
      </c>
      <c r="T199">
        <v>2120</v>
      </c>
      <c r="U199">
        <v>2660</v>
      </c>
      <c r="V199">
        <v>380</v>
      </c>
      <c r="W199">
        <v>1460</v>
      </c>
    </row>
    <row r="200" spans="1:64" x14ac:dyDescent="0.2">
      <c r="A200">
        <v>199</v>
      </c>
      <c r="B200" t="s">
        <v>351</v>
      </c>
      <c r="C200" t="s">
        <v>351</v>
      </c>
      <c r="D200" t="s">
        <v>352</v>
      </c>
      <c r="E200" t="s">
        <v>363</v>
      </c>
      <c r="F200" t="s">
        <v>354</v>
      </c>
      <c r="G200" t="s">
        <v>397</v>
      </c>
      <c r="H200">
        <v>1590</v>
      </c>
      <c r="I200">
        <v>420700</v>
      </c>
      <c r="J200">
        <f t="shared" si="6"/>
        <v>0.4079332746712333</v>
      </c>
      <c r="K200">
        <f t="shared" si="7"/>
        <v>0.37771444771836915</v>
      </c>
      <c r="L200">
        <v>17</v>
      </c>
      <c r="M200" t="s">
        <v>154</v>
      </c>
      <c r="N200">
        <v>1360</v>
      </c>
      <c r="O200">
        <v>1460</v>
      </c>
      <c r="P200">
        <v>1630</v>
      </c>
      <c r="Q200">
        <v>1710</v>
      </c>
      <c r="R200">
        <v>1740</v>
      </c>
      <c r="S200">
        <v>1750</v>
      </c>
      <c r="T200">
        <v>1830</v>
      </c>
      <c r="U200">
        <v>1870</v>
      </c>
      <c r="V200">
        <v>1970</v>
      </c>
      <c r="W200">
        <v>2170</v>
      </c>
      <c r="X200">
        <v>40</v>
      </c>
      <c r="Y200">
        <v>420</v>
      </c>
      <c r="Z200">
        <v>1130</v>
      </c>
      <c r="AA200">
        <v>1340</v>
      </c>
      <c r="AB200">
        <v>1570</v>
      </c>
      <c r="AC200">
        <v>2200</v>
      </c>
      <c r="AD200">
        <v>2840</v>
      </c>
    </row>
    <row r="201" spans="1:64" x14ac:dyDescent="0.2">
      <c r="A201">
        <v>200</v>
      </c>
      <c r="B201" t="s">
        <v>398</v>
      </c>
      <c r="C201" t="s">
        <v>398</v>
      </c>
      <c r="D201" t="s">
        <v>352</v>
      </c>
      <c r="E201" t="s">
        <v>399</v>
      </c>
      <c r="F201" t="s">
        <v>354</v>
      </c>
      <c r="G201" t="s">
        <v>400</v>
      </c>
      <c r="H201">
        <v>241.55</v>
      </c>
      <c r="I201">
        <v>16481.102630000001</v>
      </c>
      <c r="J201">
        <f t="shared" si="6"/>
        <v>0.53147897661038912</v>
      </c>
      <c r="K201">
        <f t="shared" si="7"/>
        <v>0.46931290797730901</v>
      </c>
      <c r="L201">
        <v>20</v>
      </c>
      <c r="M201" t="s">
        <v>154</v>
      </c>
      <c r="N201">
        <v>70</v>
      </c>
      <c r="O201">
        <v>100</v>
      </c>
      <c r="P201">
        <v>140</v>
      </c>
      <c r="Q201">
        <v>150</v>
      </c>
      <c r="R201">
        <v>152</v>
      </c>
      <c r="S201">
        <v>160</v>
      </c>
      <c r="T201">
        <v>170</v>
      </c>
      <c r="U201">
        <v>180</v>
      </c>
      <c r="V201">
        <v>188</v>
      </c>
      <c r="W201">
        <v>200</v>
      </c>
      <c r="X201">
        <v>240</v>
      </c>
      <c r="Y201">
        <v>240</v>
      </c>
      <c r="Z201">
        <v>240</v>
      </c>
      <c r="AA201">
        <v>280</v>
      </c>
      <c r="AB201">
        <v>285</v>
      </c>
      <c r="AC201">
        <v>286</v>
      </c>
      <c r="AD201">
        <v>290</v>
      </c>
      <c r="AE201">
        <v>370</v>
      </c>
      <c r="AF201">
        <v>480</v>
      </c>
      <c r="AG201">
        <v>610</v>
      </c>
    </row>
    <row r="202" spans="1:64" x14ac:dyDescent="0.2">
      <c r="A202">
        <v>201</v>
      </c>
      <c r="B202" t="s">
        <v>398</v>
      </c>
      <c r="C202" t="s">
        <v>398</v>
      </c>
      <c r="D202" t="s">
        <v>352</v>
      </c>
      <c r="E202" t="s">
        <v>399</v>
      </c>
      <c r="F202" t="s">
        <v>354</v>
      </c>
      <c r="G202" t="s">
        <v>401</v>
      </c>
      <c r="H202">
        <v>336.42857140000001</v>
      </c>
      <c r="I202">
        <v>35091.666669999999</v>
      </c>
      <c r="J202">
        <f t="shared" si="6"/>
        <v>0.55681269233392827</v>
      </c>
      <c r="K202">
        <f t="shared" si="7"/>
        <v>0.48648201143570563</v>
      </c>
      <c r="L202">
        <v>49</v>
      </c>
      <c r="M202" t="s">
        <v>154</v>
      </c>
      <c r="N202">
        <v>180</v>
      </c>
      <c r="O202">
        <v>190</v>
      </c>
      <c r="P202">
        <v>190</v>
      </c>
      <c r="Q202">
        <v>210</v>
      </c>
      <c r="R202">
        <v>220</v>
      </c>
      <c r="S202">
        <v>240</v>
      </c>
      <c r="T202">
        <v>240</v>
      </c>
      <c r="U202">
        <v>240</v>
      </c>
      <c r="V202">
        <v>250</v>
      </c>
      <c r="W202">
        <v>250</v>
      </c>
      <c r="X202">
        <v>250</v>
      </c>
      <c r="Y202">
        <v>260</v>
      </c>
      <c r="Z202">
        <v>260</v>
      </c>
      <c r="AA202">
        <v>260</v>
      </c>
      <c r="AB202">
        <v>260</v>
      </c>
      <c r="AC202">
        <v>270</v>
      </c>
      <c r="AD202">
        <v>270</v>
      </c>
      <c r="AE202">
        <v>270</v>
      </c>
      <c r="AF202">
        <v>270</v>
      </c>
      <c r="AG202">
        <v>280</v>
      </c>
      <c r="AH202">
        <v>290</v>
      </c>
      <c r="AI202">
        <v>290</v>
      </c>
      <c r="AJ202">
        <v>290</v>
      </c>
      <c r="AK202">
        <v>290</v>
      </c>
      <c r="AL202">
        <v>290</v>
      </c>
      <c r="AM202">
        <v>300</v>
      </c>
      <c r="AN202">
        <v>300</v>
      </c>
      <c r="AO202">
        <v>300</v>
      </c>
      <c r="AP202">
        <v>300</v>
      </c>
      <c r="AQ202">
        <v>300</v>
      </c>
      <c r="AR202">
        <v>300</v>
      </c>
      <c r="AS202">
        <v>300</v>
      </c>
      <c r="AT202">
        <v>310</v>
      </c>
      <c r="AU202">
        <v>320</v>
      </c>
      <c r="AV202">
        <v>320</v>
      </c>
      <c r="AW202">
        <v>330</v>
      </c>
      <c r="AX202">
        <v>350</v>
      </c>
      <c r="AY202">
        <v>350</v>
      </c>
      <c r="AZ202">
        <v>360</v>
      </c>
      <c r="BA202">
        <v>360</v>
      </c>
      <c r="BB202">
        <v>380</v>
      </c>
      <c r="BC202">
        <v>380</v>
      </c>
      <c r="BD202">
        <v>410</v>
      </c>
      <c r="BE202">
        <v>470</v>
      </c>
      <c r="BF202">
        <v>490</v>
      </c>
      <c r="BG202">
        <v>500</v>
      </c>
      <c r="BH202">
        <v>565</v>
      </c>
      <c r="BI202">
        <v>770</v>
      </c>
      <c r="BL202">
        <v>1410</v>
      </c>
    </row>
    <row r="203" spans="1:64" x14ac:dyDescent="0.2">
      <c r="A203">
        <v>202</v>
      </c>
      <c r="B203" t="s">
        <v>398</v>
      </c>
      <c r="C203" t="s">
        <v>398</v>
      </c>
      <c r="D203" t="s">
        <v>352</v>
      </c>
      <c r="E203" t="s">
        <v>399</v>
      </c>
      <c r="F203" t="s">
        <v>354</v>
      </c>
      <c r="G203" t="s">
        <v>402</v>
      </c>
      <c r="H203">
        <v>216.75</v>
      </c>
      <c r="I203">
        <v>7330.2142860000004</v>
      </c>
      <c r="J203">
        <f t="shared" si="6"/>
        <v>0.39500194052137111</v>
      </c>
      <c r="K203">
        <f t="shared" si="7"/>
        <v>0.36737984631477816</v>
      </c>
      <c r="L203">
        <v>8</v>
      </c>
      <c r="M203" t="s">
        <v>154</v>
      </c>
      <c r="N203">
        <v>90</v>
      </c>
      <c r="O203">
        <v>120</v>
      </c>
      <c r="P203">
        <v>170</v>
      </c>
      <c r="Q203">
        <v>230</v>
      </c>
      <c r="R203">
        <v>234</v>
      </c>
      <c r="S203">
        <v>250</v>
      </c>
      <c r="T203">
        <v>300</v>
      </c>
      <c r="U203">
        <v>340</v>
      </c>
    </row>
    <row r="204" spans="1:64" x14ac:dyDescent="0.2">
      <c r="A204">
        <v>203</v>
      </c>
      <c r="B204" t="s">
        <v>398</v>
      </c>
      <c r="C204" t="s">
        <v>398</v>
      </c>
      <c r="D204" t="s">
        <v>352</v>
      </c>
      <c r="E204" t="s">
        <v>399</v>
      </c>
      <c r="F204" t="s">
        <v>354</v>
      </c>
      <c r="G204" t="s">
        <v>381</v>
      </c>
      <c r="H204">
        <v>671</v>
      </c>
      <c r="I204">
        <v>9410</v>
      </c>
      <c r="J204">
        <f t="shared" si="6"/>
        <v>0.14456803949660535</v>
      </c>
      <c r="K204">
        <f t="shared" si="7"/>
        <v>0.14308058497691969</v>
      </c>
      <c r="L204">
        <v>10</v>
      </c>
      <c r="M204" t="s">
        <v>154</v>
      </c>
      <c r="N204">
        <v>500</v>
      </c>
      <c r="O204">
        <v>530</v>
      </c>
      <c r="P204">
        <v>610</v>
      </c>
      <c r="Q204">
        <v>630</v>
      </c>
      <c r="R204">
        <v>710</v>
      </c>
      <c r="S204">
        <v>730</v>
      </c>
      <c r="T204">
        <v>740</v>
      </c>
      <c r="U204">
        <v>750</v>
      </c>
      <c r="V204">
        <v>750</v>
      </c>
      <c r="W204">
        <v>760</v>
      </c>
    </row>
    <row r="205" spans="1:64" x14ac:dyDescent="0.2">
      <c r="A205">
        <v>204</v>
      </c>
      <c r="B205" t="s">
        <v>398</v>
      </c>
      <c r="C205" t="s">
        <v>398</v>
      </c>
      <c r="D205" t="s">
        <v>352</v>
      </c>
      <c r="E205" t="s">
        <v>399</v>
      </c>
      <c r="F205" t="s">
        <v>354</v>
      </c>
      <c r="G205" t="s">
        <v>389</v>
      </c>
      <c r="H205">
        <v>664.54545450000001</v>
      </c>
      <c r="I205">
        <v>43067.272729999997</v>
      </c>
      <c r="J205">
        <f t="shared" si="6"/>
        <v>0.31228346788046007</v>
      </c>
      <c r="K205">
        <f t="shared" si="7"/>
        <v>0.29808668766109286</v>
      </c>
      <c r="L205">
        <v>11</v>
      </c>
      <c r="M205" t="s">
        <v>154</v>
      </c>
      <c r="N205">
        <v>250</v>
      </c>
      <c r="O205">
        <v>450</v>
      </c>
      <c r="P205">
        <v>550</v>
      </c>
      <c r="Q205">
        <v>560</v>
      </c>
      <c r="R205">
        <v>580</v>
      </c>
      <c r="S205">
        <v>690</v>
      </c>
      <c r="T205">
        <v>750</v>
      </c>
      <c r="U205">
        <v>810</v>
      </c>
      <c r="V205">
        <v>890</v>
      </c>
      <c r="W205">
        <v>890</v>
      </c>
      <c r="X205">
        <v>890</v>
      </c>
    </row>
    <row r="206" spans="1:64" x14ac:dyDescent="0.2">
      <c r="A206">
        <v>205</v>
      </c>
      <c r="B206" t="s">
        <v>398</v>
      </c>
      <c r="C206" t="s">
        <v>398</v>
      </c>
      <c r="D206" t="s">
        <v>352</v>
      </c>
      <c r="E206" t="s">
        <v>399</v>
      </c>
      <c r="F206" t="s">
        <v>354</v>
      </c>
      <c r="G206" t="s">
        <v>403</v>
      </c>
      <c r="H206">
        <v>801.42857140000001</v>
      </c>
      <c r="I206">
        <v>13347.619049999999</v>
      </c>
      <c r="J206">
        <f t="shared" si="6"/>
        <v>0.14415744630033481</v>
      </c>
      <c r="K206">
        <f t="shared" si="7"/>
        <v>0.14268250087069853</v>
      </c>
      <c r="L206">
        <v>7</v>
      </c>
      <c r="M206" t="s">
        <v>154</v>
      </c>
      <c r="N206">
        <v>670</v>
      </c>
      <c r="O206">
        <v>720</v>
      </c>
      <c r="P206">
        <v>730</v>
      </c>
      <c r="Q206">
        <v>750</v>
      </c>
      <c r="R206">
        <v>830</v>
      </c>
      <c r="S206">
        <v>940</v>
      </c>
      <c r="T206">
        <v>970</v>
      </c>
    </row>
    <row r="207" spans="1:64" x14ac:dyDescent="0.2">
      <c r="A207">
        <v>206</v>
      </c>
      <c r="B207" t="s">
        <v>398</v>
      </c>
      <c r="C207" t="s">
        <v>398</v>
      </c>
      <c r="D207" t="s">
        <v>352</v>
      </c>
      <c r="E207" t="s">
        <v>399</v>
      </c>
      <c r="F207" t="s">
        <v>354</v>
      </c>
      <c r="G207" t="s">
        <v>404</v>
      </c>
      <c r="H207">
        <v>546.45833330000005</v>
      </c>
      <c r="I207">
        <v>205219.10459999999</v>
      </c>
      <c r="J207">
        <f t="shared" si="6"/>
        <v>0.82899486609922857</v>
      </c>
      <c r="K207">
        <f t="shared" si="7"/>
        <v>0.63821113387792661</v>
      </c>
      <c r="L207">
        <v>48</v>
      </c>
      <c r="M207" t="s">
        <v>154</v>
      </c>
      <c r="N207">
        <v>160</v>
      </c>
      <c r="O207">
        <v>190</v>
      </c>
      <c r="P207">
        <v>260</v>
      </c>
      <c r="Q207">
        <v>270</v>
      </c>
      <c r="R207">
        <v>280</v>
      </c>
      <c r="S207">
        <v>290</v>
      </c>
      <c r="T207">
        <v>300</v>
      </c>
      <c r="U207">
        <v>300</v>
      </c>
      <c r="V207">
        <v>300</v>
      </c>
      <c r="W207">
        <v>320</v>
      </c>
      <c r="X207">
        <v>320</v>
      </c>
      <c r="Y207">
        <v>330</v>
      </c>
      <c r="Z207">
        <v>340</v>
      </c>
      <c r="AA207">
        <v>340</v>
      </c>
      <c r="AB207">
        <v>350</v>
      </c>
      <c r="AC207">
        <v>350</v>
      </c>
      <c r="AD207">
        <v>350</v>
      </c>
      <c r="AE207">
        <v>350</v>
      </c>
      <c r="AF207">
        <v>360</v>
      </c>
      <c r="AG207">
        <v>360</v>
      </c>
      <c r="AH207">
        <v>360</v>
      </c>
      <c r="AI207">
        <v>360</v>
      </c>
      <c r="AJ207">
        <v>370</v>
      </c>
      <c r="AK207">
        <v>370</v>
      </c>
      <c r="AL207">
        <v>390</v>
      </c>
      <c r="AM207">
        <v>390</v>
      </c>
      <c r="AN207">
        <v>400</v>
      </c>
      <c r="AO207">
        <v>410</v>
      </c>
      <c r="AP207">
        <v>420</v>
      </c>
      <c r="AQ207">
        <v>420</v>
      </c>
      <c r="AR207">
        <v>420</v>
      </c>
      <c r="AS207">
        <v>470</v>
      </c>
      <c r="AT207">
        <v>480</v>
      </c>
      <c r="AU207">
        <v>560</v>
      </c>
      <c r="AV207">
        <v>590</v>
      </c>
      <c r="AW207">
        <v>630</v>
      </c>
      <c r="AX207">
        <v>680</v>
      </c>
      <c r="AY207">
        <v>710</v>
      </c>
      <c r="AZ207">
        <v>720</v>
      </c>
      <c r="BA207">
        <v>730</v>
      </c>
      <c r="BB207">
        <v>780</v>
      </c>
      <c r="BC207">
        <v>780</v>
      </c>
      <c r="BD207">
        <v>820</v>
      </c>
      <c r="BE207">
        <v>880</v>
      </c>
      <c r="BF207">
        <v>990</v>
      </c>
      <c r="BG207">
        <v>1200</v>
      </c>
      <c r="BH207">
        <v>1990</v>
      </c>
      <c r="BI207">
        <v>2790</v>
      </c>
    </row>
    <row r="208" spans="1:64" x14ac:dyDescent="0.2">
      <c r="A208">
        <v>207</v>
      </c>
      <c r="B208" t="s">
        <v>398</v>
      </c>
      <c r="C208" t="s">
        <v>398</v>
      </c>
      <c r="D208" t="s">
        <v>352</v>
      </c>
      <c r="E208" t="s">
        <v>399</v>
      </c>
      <c r="F208" t="s">
        <v>354</v>
      </c>
      <c r="G208" t="s">
        <v>405</v>
      </c>
      <c r="H208">
        <v>860.36842109999998</v>
      </c>
      <c r="I208">
        <v>44854.801169999999</v>
      </c>
      <c r="J208">
        <f t="shared" si="6"/>
        <v>0.24616143005995805</v>
      </c>
      <c r="K208">
        <f t="shared" si="7"/>
        <v>0.23902599047875972</v>
      </c>
      <c r="L208">
        <v>19</v>
      </c>
      <c r="M208" t="s">
        <v>154</v>
      </c>
      <c r="N208">
        <v>250</v>
      </c>
      <c r="O208">
        <v>590</v>
      </c>
      <c r="P208">
        <v>777</v>
      </c>
      <c r="Q208">
        <v>780</v>
      </c>
      <c r="R208">
        <v>800</v>
      </c>
      <c r="S208">
        <v>800</v>
      </c>
      <c r="T208">
        <v>800</v>
      </c>
      <c r="U208">
        <v>820</v>
      </c>
      <c r="V208">
        <v>820</v>
      </c>
      <c r="W208">
        <v>840</v>
      </c>
      <c r="X208">
        <v>900</v>
      </c>
      <c r="Y208">
        <v>900</v>
      </c>
      <c r="Z208">
        <v>900</v>
      </c>
      <c r="AA208">
        <v>900</v>
      </c>
      <c r="AB208">
        <v>930</v>
      </c>
      <c r="AC208">
        <v>1040</v>
      </c>
      <c r="AD208">
        <v>1090</v>
      </c>
      <c r="AE208">
        <v>1200</v>
      </c>
      <c r="AF208">
        <v>1210</v>
      </c>
    </row>
    <row r="209" spans="1:148" x14ac:dyDescent="0.2">
      <c r="A209">
        <v>208</v>
      </c>
      <c r="B209" t="s">
        <v>398</v>
      </c>
      <c r="C209" t="s">
        <v>398</v>
      </c>
      <c r="D209" t="s">
        <v>352</v>
      </c>
      <c r="E209" t="s">
        <v>399</v>
      </c>
      <c r="F209" t="s">
        <v>354</v>
      </c>
      <c r="G209" t="s">
        <v>406</v>
      </c>
      <c r="H209">
        <v>595.55555560000005</v>
      </c>
      <c r="I209">
        <v>139294.87179999999</v>
      </c>
      <c r="J209">
        <f t="shared" si="6"/>
        <v>0.62667920484607231</v>
      </c>
      <c r="K209">
        <f t="shared" si="7"/>
        <v>0.53102175453067346</v>
      </c>
      <c r="L209">
        <v>27</v>
      </c>
      <c r="M209" t="s">
        <v>154</v>
      </c>
      <c r="N209">
        <v>110</v>
      </c>
      <c r="O209">
        <v>190</v>
      </c>
      <c r="P209">
        <v>220</v>
      </c>
      <c r="Q209">
        <v>230</v>
      </c>
      <c r="R209">
        <v>260</v>
      </c>
      <c r="S209">
        <v>260</v>
      </c>
      <c r="T209">
        <v>410</v>
      </c>
      <c r="U209">
        <v>430</v>
      </c>
      <c r="V209">
        <v>430</v>
      </c>
      <c r="W209">
        <v>440</v>
      </c>
      <c r="X209">
        <v>450</v>
      </c>
      <c r="Y209">
        <v>460</v>
      </c>
      <c r="Z209">
        <v>470</v>
      </c>
      <c r="AA209">
        <v>480</v>
      </c>
      <c r="AB209">
        <v>500</v>
      </c>
      <c r="AC209">
        <v>530</v>
      </c>
      <c r="AD209">
        <v>550</v>
      </c>
      <c r="AE209">
        <v>620</v>
      </c>
      <c r="AF209">
        <v>650</v>
      </c>
      <c r="AG209">
        <v>690</v>
      </c>
      <c r="AH209">
        <v>730</v>
      </c>
      <c r="AI209">
        <v>750</v>
      </c>
      <c r="AJ209">
        <v>860</v>
      </c>
      <c r="AK209">
        <v>970</v>
      </c>
      <c r="AL209">
        <v>1450</v>
      </c>
      <c r="AM209">
        <v>1470</v>
      </c>
      <c r="AN209">
        <v>1470</v>
      </c>
    </row>
    <row r="210" spans="1:148" x14ac:dyDescent="0.2">
      <c r="A210">
        <v>209</v>
      </c>
      <c r="B210" t="s">
        <v>398</v>
      </c>
      <c r="C210" t="s">
        <v>398</v>
      </c>
      <c r="D210" t="s">
        <v>352</v>
      </c>
      <c r="E210" t="s">
        <v>399</v>
      </c>
      <c r="F210" t="s">
        <v>354</v>
      </c>
      <c r="G210" t="s">
        <v>407</v>
      </c>
      <c r="H210">
        <v>1081.3725489999999</v>
      </c>
      <c r="I210">
        <v>243163.43840000001</v>
      </c>
      <c r="J210">
        <f t="shared" si="6"/>
        <v>0.45600940220211356</v>
      </c>
      <c r="K210">
        <f t="shared" si="7"/>
        <v>0.41490655233977147</v>
      </c>
      <c r="L210">
        <v>51</v>
      </c>
      <c r="M210" t="s">
        <v>154</v>
      </c>
      <c r="P210">
        <v>450</v>
      </c>
      <c r="Q210">
        <v>370</v>
      </c>
      <c r="R210">
        <v>590</v>
      </c>
      <c r="S210">
        <v>390</v>
      </c>
      <c r="T210">
        <v>690</v>
      </c>
      <c r="U210">
        <v>720</v>
      </c>
      <c r="V210">
        <v>150</v>
      </c>
      <c r="W210">
        <v>780</v>
      </c>
      <c r="X210">
        <v>360</v>
      </c>
      <c r="Y210">
        <v>550</v>
      </c>
      <c r="Z210">
        <v>1040</v>
      </c>
      <c r="AA210">
        <v>1100</v>
      </c>
      <c r="AB210">
        <v>140</v>
      </c>
      <c r="AC210">
        <v>910</v>
      </c>
      <c r="AD210">
        <v>2100</v>
      </c>
      <c r="AE210">
        <v>1650</v>
      </c>
      <c r="AF210">
        <v>1220</v>
      </c>
      <c r="AG210">
        <v>1310</v>
      </c>
      <c r="AH210">
        <v>760</v>
      </c>
      <c r="AI210">
        <v>730</v>
      </c>
      <c r="AJ210">
        <v>1630</v>
      </c>
      <c r="AK210">
        <v>560</v>
      </c>
      <c r="AL210">
        <v>1248</v>
      </c>
      <c r="AM210">
        <v>890</v>
      </c>
      <c r="AN210">
        <v>850</v>
      </c>
      <c r="AO210">
        <v>1090</v>
      </c>
      <c r="AP210">
        <v>1150</v>
      </c>
      <c r="AQ210">
        <v>1140</v>
      </c>
      <c r="AR210">
        <v>1080</v>
      </c>
      <c r="AS210">
        <v>970</v>
      </c>
      <c r="AT210">
        <v>810</v>
      </c>
      <c r="AU210">
        <v>740</v>
      </c>
      <c r="AV210">
        <v>1230</v>
      </c>
      <c r="AW210">
        <v>1380</v>
      </c>
      <c r="AX210">
        <v>1170</v>
      </c>
      <c r="AY210">
        <v>1250</v>
      </c>
      <c r="AZ210">
        <v>1490</v>
      </c>
      <c r="BA210">
        <v>1150</v>
      </c>
      <c r="BB210">
        <v>1940</v>
      </c>
      <c r="BC210">
        <v>792</v>
      </c>
      <c r="BD210">
        <v>1740</v>
      </c>
      <c r="BE210">
        <v>1010</v>
      </c>
      <c r="BF210">
        <v>1790</v>
      </c>
      <c r="BG210">
        <v>1270</v>
      </c>
      <c r="BH210">
        <v>1610</v>
      </c>
      <c r="BI210">
        <v>1590</v>
      </c>
      <c r="BJ210">
        <v>1590</v>
      </c>
      <c r="BK210">
        <v>1000</v>
      </c>
      <c r="BL210">
        <v>2120</v>
      </c>
      <c r="BM210">
        <v>2050</v>
      </c>
      <c r="BN210">
        <v>810</v>
      </c>
    </row>
    <row r="211" spans="1:148" x14ac:dyDescent="0.2">
      <c r="A211">
        <v>210</v>
      </c>
      <c r="B211" t="s">
        <v>398</v>
      </c>
      <c r="C211" t="s">
        <v>398</v>
      </c>
      <c r="D211" t="s">
        <v>352</v>
      </c>
      <c r="E211" t="s">
        <v>399</v>
      </c>
      <c r="F211" t="s">
        <v>354</v>
      </c>
      <c r="G211" t="s">
        <v>408</v>
      </c>
      <c r="H211">
        <v>1096.08</v>
      </c>
      <c r="I211">
        <v>315769.49329999997</v>
      </c>
      <c r="J211">
        <f t="shared" si="6"/>
        <v>0.51267581653771643</v>
      </c>
      <c r="K211">
        <f t="shared" si="7"/>
        <v>0.45621469496936318</v>
      </c>
      <c r="L211">
        <v>25</v>
      </c>
      <c r="M211" t="s">
        <v>154</v>
      </c>
      <c r="N211">
        <v>620</v>
      </c>
      <c r="O211">
        <v>780</v>
      </c>
      <c r="P211">
        <v>1510</v>
      </c>
      <c r="Q211">
        <v>346</v>
      </c>
      <c r="R211">
        <v>1390</v>
      </c>
      <c r="S211">
        <v>206</v>
      </c>
      <c r="T211">
        <v>1250</v>
      </c>
      <c r="U211">
        <v>1460</v>
      </c>
      <c r="V211">
        <v>740</v>
      </c>
      <c r="W211">
        <v>1500</v>
      </c>
      <c r="X211">
        <v>1500</v>
      </c>
      <c r="Y211">
        <v>1600</v>
      </c>
      <c r="Z211">
        <v>1500</v>
      </c>
      <c r="AA211">
        <v>2400</v>
      </c>
      <c r="AB211">
        <v>1900</v>
      </c>
      <c r="AC211">
        <v>1500</v>
      </c>
      <c r="AD211">
        <v>1600</v>
      </c>
      <c r="AE211">
        <v>700</v>
      </c>
      <c r="AF211">
        <v>1330</v>
      </c>
      <c r="AG211">
        <v>730</v>
      </c>
      <c r="AH211">
        <v>680</v>
      </c>
      <c r="AI211">
        <v>540</v>
      </c>
      <c r="AJ211">
        <v>660</v>
      </c>
      <c r="AK211">
        <v>290</v>
      </c>
      <c r="AM211">
        <v>670</v>
      </c>
    </row>
    <row r="212" spans="1:148" x14ac:dyDescent="0.2">
      <c r="A212">
        <v>211</v>
      </c>
      <c r="B212" t="s">
        <v>398</v>
      </c>
      <c r="C212" t="s">
        <v>398</v>
      </c>
      <c r="D212" t="s">
        <v>352</v>
      </c>
      <c r="E212" t="s">
        <v>399</v>
      </c>
      <c r="F212" t="s">
        <v>354</v>
      </c>
      <c r="G212" t="s">
        <v>409</v>
      </c>
      <c r="H212">
        <v>1651.1111109999999</v>
      </c>
      <c r="I212">
        <v>298507.30160000001</v>
      </c>
      <c r="J212">
        <f t="shared" si="6"/>
        <v>0.33090336177243446</v>
      </c>
      <c r="K212">
        <f t="shared" si="7"/>
        <v>0.31415075398543951</v>
      </c>
      <c r="L212">
        <v>36</v>
      </c>
      <c r="M212" t="s">
        <v>154</v>
      </c>
      <c r="N212">
        <v>770</v>
      </c>
      <c r="O212">
        <v>1080</v>
      </c>
      <c r="P212">
        <v>1570</v>
      </c>
      <c r="Q212">
        <v>2170</v>
      </c>
      <c r="R212">
        <v>2670</v>
      </c>
      <c r="S212">
        <v>1600</v>
      </c>
      <c r="T212">
        <v>1200</v>
      </c>
      <c r="U212">
        <v>1800</v>
      </c>
      <c r="V212">
        <v>2300</v>
      </c>
      <c r="W212">
        <v>3200</v>
      </c>
      <c r="X212">
        <v>1500</v>
      </c>
      <c r="Y212">
        <v>1110</v>
      </c>
      <c r="Z212">
        <v>1160</v>
      </c>
      <c r="AA212">
        <v>1450</v>
      </c>
      <c r="AB212">
        <v>860</v>
      </c>
      <c r="AC212">
        <v>1410</v>
      </c>
      <c r="AD212">
        <v>1140</v>
      </c>
      <c r="AE212">
        <v>1370</v>
      </c>
      <c r="AF212">
        <v>1750</v>
      </c>
      <c r="AG212">
        <v>2100</v>
      </c>
      <c r="AH212">
        <v>990</v>
      </c>
      <c r="AK212">
        <v>2080</v>
      </c>
      <c r="AL212">
        <v>1460</v>
      </c>
      <c r="AM212">
        <v>770</v>
      </c>
      <c r="AN212">
        <v>970</v>
      </c>
      <c r="AO212">
        <v>1700</v>
      </c>
      <c r="AP212">
        <v>2000</v>
      </c>
      <c r="AQ212">
        <v>1620</v>
      </c>
      <c r="AR212">
        <v>1670</v>
      </c>
      <c r="AS212">
        <v>2190</v>
      </c>
      <c r="AT212">
        <v>2070</v>
      </c>
      <c r="AU212">
        <v>1820</v>
      </c>
      <c r="AV212">
        <v>1710</v>
      </c>
      <c r="AW212">
        <v>2230</v>
      </c>
      <c r="AX212">
        <v>1770</v>
      </c>
      <c r="AY212">
        <v>2180</v>
      </c>
    </row>
    <row r="213" spans="1:148" x14ac:dyDescent="0.2">
      <c r="A213">
        <v>212</v>
      </c>
      <c r="B213" t="s">
        <v>410</v>
      </c>
      <c r="C213" t="s">
        <v>411</v>
      </c>
      <c r="D213" t="s">
        <v>412</v>
      </c>
      <c r="E213" t="s">
        <v>399</v>
      </c>
      <c r="F213" t="s">
        <v>354</v>
      </c>
      <c r="G213" t="s">
        <v>413</v>
      </c>
      <c r="H213">
        <v>379</v>
      </c>
      <c r="I213">
        <v>3990.181818</v>
      </c>
      <c r="J213">
        <f t="shared" si="6"/>
        <v>0.16666988382755082</v>
      </c>
      <c r="K213">
        <f t="shared" si="7"/>
        <v>0.16440207492364733</v>
      </c>
      <c r="L213">
        <v>12</v>
      </c>
      <c r="M213" t="s">
        <v>154</v>
      </c>
      <c r="N213">
        <v>356</v>
      </c>
      <c r="O213">
        <v>469</v>
      </c>
      <c r="P213">
        <v>478</v>
      </c>
      <c r="Q213">
        <v>405</v>
      </c>
      <c r="R213">
        <v>325</v>
      </c>
      <c r="S213">
        <v>438</v>
      </c>
      <c r="T213">
        <v>396</v>
      </c>
      <c r="U213">
        <v>267</v>
      </c>
      <c r="V213">
        <v>348</v>
      </c>
      <c r="W213">
        <v>384</v>
      </c>
      <c r="X213">
        <v>370</v>
      </c>
      <c r="Y213">
        <v>312</v>
      </c>
    </row>
    <row r="214" spans="1:148" x14ac:dyDescent="0.2">
      <c r="A214">
        <v>213</v>
      </c>
      <c r="B214" t="s">
        <v>410</v>
      </c>
      <c r="C214" t="s">
        <v>411</v>
      </c>
      <c r="D214" t="s">
        <v>412</v>
      </c>
      <c r="E214" t="s">
        <v>399</v>
      </c>
      <c r="F214" t="s">
        <v>354</v>
      </c>
      <c r="G214" t="s">
        <v>414</v>
      </c>
      <c r="H214">
        <v>88.75</v>
      </c>
      <c r="I214">
        <v>172.75</v>
      </c>
      <c r="J214">
        <f t="shared" si="6"/>
        <v>0.14809509214754835</v>
      </c>
      <c r="K214">
        <f t="shared" si="7"/>
        <v>0.14649730447307127</v>
      </c>
      <c r="L214">
        <v>12</v>
      </c>
      <c r="M214" t="s">
        <v>154</v>
      </c>
      <c r="N214">
        <v>83</v>
      </c>
      <c r="O214">
        <v>69</v>
      </c>
      <c r="P214">
        <v>78</v>
      </c>
      <c r="Q214">
        <v>87</v>
      </c>
      <c r="R214">
        <v>111</v>
      </c>
      <c r="S214">
        <v>92</v>
      </c>
      <c r="T214">
        <v>95</v>
      </c>
      <c r="U214">
        <v>89</v>
      </c>
      <c r="V214">
        <v>108</v>
      </c>
      <c r="W214">
        <v>69</v>
      </c>
      <c r="X214">
        <v>96</v>
      </c>
      <c r="Y214">
        <v>88</v>
      </c>
    </row>
    <row r="215" spans="1:148" x14ac:dyDescent="0.2">
      <c r="A215">
        <v>214</v>
      </c>
      <c r="B215" t="s">
        <v>410</v>
      </c>
      <c r="C215" t="s">
        <v>411</v>
      </c>
      <c r="D215" t="s">
        <v>412</v>
      </c>
      <c r="E215" t="s">
        <v>399</v>
      </c>
      <c r="F215" t="s">
        <v>354</v>
      </c>
      <c r="G215" t="s">
        <v>415</v>
      </c>
      <c r="H215">
        <v>52.666666669999998</v>
      </c>
      <c r="I215">
        <v>181.33333329999999</v>
      </c>
      <c r="J215">
        <f t="shared" si="6"/>
        <v>0.25568366928593939</v>
      </c>
      <c r="K215">
        <f t="shared" si="7"/>
        <v>0.24771477731668867</v>
      </c>
      <c r="L215">
        <v>12</v>
      </c>
      <c r="M215" t="s">
        <v>154</v>
      </c>
      <c r="N215">
        <v>66</v>
      </c>
      <c r="O215">
        <v>59</v>
      </c>
      <c r="P215">
        <v>54</v>
      </c>
      <c r="Q215">
        <v>35</v>
      </c>
      <c r="R215">
        <v>66</v>
      </c>
      <c r="S215">
        <v>60</v>
      </c>
      <c r="T215">
        <v>72</v>
      </c>
      <c r="U215">
        <v>42</v>
      </c>
      <c r="V215">
        <v>63</v>
      </c>
      <c r="W215">
        <v>36</v>
      </c>
      <c r="X215">
        <v>42</v>
      </c>
      <c r="Y215">
        <v>37</v>
      </c>
    </row>
    <row r="216" spans="1:148" x14ac:dyDescent="0.2">
      <c r="A216">
        <v>215</v>
      </c>
      <c r="B216" t="s">
        <v>416</v>
      </c>
      <c r="C216" t="s">
        <v>417</v>
      </c>
      <c r="D216" t="s">
        <v>418</v>
      </c>
      <c r="E216" t="s">
        <v>419</v>
      </c>
      <c r="F216" t="s">
        <v>354</v>
      </c>
      <c r="G216" t="s">
        <v>420</v>
      </c>
      <c r="H216">
        <v>269.40833329999998</v>
      </c>
      <c r="I216">
        <v>937.79901519999999</v>
      </c>
      <c r="J216">
        <f t="shared" si="6"/>
        <v>0.11366947680556846</v>
      </c>
      <c r="K216">
        <f t="shared" si="7"/>
        <v>0.11294216983524193</v>
      </c>
      <c r="L216">
        <v>12</v>
      </c>
      <c r="M216" t="s">
        <v>154</v>
      </c>
      <c r="N216">
        <v>260</v>
      </c>
      <c r="O216">
        <v>229</v>
      </c>
      <c r="P216">
        <v>293</v>
      </c>
      <c r="Q216">
        <v>315</v>
      </c>
      <c r="R216">
        <v>276</v>
      </c>
      <c r="S216">
        <v>277</v>
      </c>
      <c r="T216">
        <v>280</v>
      </c>
      <c r="U216">
        <v>239</v>
      </c>
      <c r="V216">
        <v>307</v>
      </c>
      <c r="W216">
        <v>218</v>
      </c>
      <c r="X216">
        <v>250</v>
      </c>
      <c r="Y216">
        <v>290</v>
      </c>
    </row>
    <row r="217" spans="1:148" x14ac:dyDescent="0.2">
      <c r="A217">
        <v>216</v>
      </c>
      <c r="B217" t="s">
        <v>416</v>
      </c>
      <c r="C217" t="s">
        <v>417</v>
      </c>
      <c r="D217" t="s">
        <v>418</v>
      </c>
      <c r="E217" t="s">
        <v>419</v>
      </c>
      <c r="F217" t="s">
        <v>354</v>
      </c>
      <c r="G217" t="s">
        <v>421</v>
      </c>
      <c r="H217">
        <v>418.81666669999998</v>
      </c>
      <c r="I217">
        <v>9977.9833330000001</v>
      </c>
      <c r="J217">
        <f t="shared" si="6"/>
        <v>0.23850496875773802</v>
      </c>
      <c r="K217">
        <f t="shared" si="7"/>
        <v>0.23199768007778179</v>
      </c>
      <c r="L217">
        <v>12</v>
      </c>
      <c r="M217" t="s">
        <v>154</v>
      </c>
      <c r="N217">
        <v>113</v>
      </c>
      <c r="O217">
        <v>439</v>
      </c>
      <c r="P217">
        <v>457</v>
      </c>
      <c r="Q217">
        <v>476</v>
      </c>
      <c r="R217">
        <v>456</v>
      </c>
      <c r="S217">
        <v>477</v>
      </c>
      <c r="T217">
        <v>456</v>
      </c>
      <c r="U217">
        <v>387</v>
      </c>
      <c r="V217">
        <v>469</v>
      </c>
      <c r="W217">
        <v>417</v>
      </c>
      <c r="X217">
        <v>420</v>
      </c>
      <c r="Y217">
        <v>458</v>
      </c>
    </row>
    <row r="218" spans="1:148" x14ac:dyDescent="0.2">
      <c r="A218">
        <v>217</v>
      </c>
      <c r="B218" t="s">
        <v>416</v>
      </c>
      <c r="C218" t="s">
        <v>417</v>
      </c>
      <c r="D218" t="s">
        <v>418</v>
      </c>
      <c r="E218" t="s">
        <v>419</v>
      </c>
      <c r="F218" t="s">
        <v>354</v>
      </c>
      <c r="G218" t="s">
        <v>422</v>
      </c>
      <c r="H218">
        <v>434.35833330000003</v>
      </c>
      <c r="I218">
        <v>15465.3172</v>
      </c>
      <c r="J218">
        <f t="shared" si="6"/>
        <v>0.2863065330243415</v>
      </c>
      <c r="K218">
        <f t="shared" si="7"/>
        <v>0.27524748615839773</v>
      </c>
      <c r="L218">
        <v>12</v>
      </c>
      <c r="M218" t="s">
        <v>154</v>
      </c>
      <c r="N218">
        <v>87</v>
      </c>
      <c r="O218">
        <v>445</v>
      </c>
      <c r="P218">
        <v>489</v>
      </c>
      <c r="Q218">
        <v>530</v>
      </c>
      <c r="R218">
        <v>510</v>
      </c>
      <c r="S218">
        <v>534</v>
      </c>
      <c r="T218">
        <v>486</v>
      </c>
      <c r="U218">
        <v>353</v>
      </c>
      <c r="V218">
        <v>504</v>
      </c>
      <c r="W218">
        <v>395</v>
      </c>
      <c r="X218">
        <v>385</v>
      </c>
      <c r="Y218">
        <v>495</v>
      </c>
    </row>
    <row r="219" spans="1:148" x14ac:dyDescent="0.2">
      <c r="A219">
        <v>218</v>
      </c>
      <c r="B219" t="s">
        <v>416</v>
      </c>
      <c r="C219" t="s">
        <v>417</v>
      </c>
      <c r="D219" t="s">
        <v>418</v>
      </c>
      <c r="E219" t="s">
        <v>419</v>
      </c>
      <c r="F219" t="s">
        <v>354</v>
      </c>
      <c r="G219" t="s">
        <v>423</v>
      </c>
      <c r="H219">
        <v>145.9</v>
      </c>
      <c r="I219">
        <v>1123.8872730000001</v>
      </c>
      <c r="J219">
        <f t="shared" si="6"/>
        <v>0.22977675122734006</v>
      </c>
      <c r="K219">
        <f t="shared" si="7"/>
        <v>0.22394104066498455</v>
      </c>
      <c r="L219">
        <v>12</v>
      </c>
      <c r="M219" t="s">
        <v>154</v>
      </c>
      <c r="N219">
        <v>85</v>
      </c>
      <c r="O219">
        <v>104</v>
      </c>
      <c r="P219">
        <v>178</v>
      </c>
      <c r="Q219">
        <v>181</v>
      </c>
      <c r="R219">
        <v>154</v>
      </c>
      <c r="S219">
        <v>107</v>
      </c>
      <c r="T219">
        <v>156</v>
      </c>
      <c r="U219">
        <v>190</v>
      </c>
      <c r="V219">
        <v>176</v>
      </c>
      <c r="W219">
        <v>138</v>
      </c>
      <c r="X219">
        <v>138</v>
      </c>
      <c r="Y219">
        <v>145</v>
      </c>
    </row>
    <row r="220" spans="1:148" x14ac:dyDescent="0.2">
      <c r="A220">
        <v>219</v>
      </c>
      <c r="B220" t="s">
        <v>416</v>
      </c>
      <c r="C220" t="s">
        <v>417</v>
      </c>
      <c r="D220" t="s">
        <v>418</v>
      </c>
      <c r="E220" t="s">
        <v>419</v>
      </c>
      <c r="F220" t="s">
        <v>354</v>
      </c>
      <c r="G220" t="s">
        <v>424</v>
      </c>
      <c r="H220">
        <v>93.433333329999996</v>
      </c>
      <c r="I220">
        <v>811.59333330000004</v>
      </c>
      <c r="J220">
        <f t="shared" si="6"/>
        <v>0.30490699825057049</v>
      </c>
      <c r="K220">
        <f t="shared" si="7"/>
        <v>0.29165109671729161</v>
      </c>
      <c r="L220">
        <v>12</v>
      </c>
      <c r="M220" t="s">
        <v>154</v>
      </c>
      <c r="N220">
        <v>47</v>
      </c>
      <c r="O220">
        <v>55</v>
      </c>
      <c r="P220">
        <v>121</v>
      </c>
      <c r="Q220">
        <v>117</v>
      </c>
      <c r="R220">
        <v>100</v>
      </c>
      <c r="S220">
        <v>61</v>
      </c>
      <c r="T220">
        <v>94</v>
      </c>
      <c r="U220">
        <v>140</v>
      </c>
      <c r="V220">
        <v>119</v>
      </c>
      <c r="W220">
        <v>87</v>
      </c>
      <c r="X220">
        <v>89</v>
      </c>
      <c r="Y220">
        <v>91</v>
      </c>
    </row>
    <row r="221" spans="1:148" x14ac:dyDescent="0.2">
      <c r="A221">
        <v>220</v>
      </c>
      <c r="B221" t="s">
        <v>416</v>
      </c>
      <c r="C221" t="s">
        <v>417</v>
      </c>
      <c r="D221" t="s">
        <v>418</v>
      </c>
      <c r="E221" t="s">
        <v>419</v>
      </c>
      <c r="F221" t="s">
        <v>354</v>
      </c>
      <c r="G221" t="s">
        <v>425</v>
      </c>
      <c r="H221">
        <v>62.458333330000002</v>
      </c>
      <c r="I221">
        <v>303.97537879999999</v>
      </c>
      <c r="J221">
        <f t="shared" si="6"/>
        <v>0.27914433141235168</v>
      </c>
      <c r="K221">
        <f t="shared" si="7"/>
        <v>0.26886559644149932</v>
      </c>
      <c r="L221">
        <v>12</v>
      </c>
      <c r="M221" t="s">
        <v>154</v>
      </c>
      <c r="N221">
        <v>49</v>
      </c>
      <c r="O221">
        <v>24</v>
      </c>
      <c r="P221">
        <v>79</v>
      </c>
      <c r="Q221">
        <v>88</v>
      </c>
      <c r="R221">
        <v>64</v>
      </c>
      <c r="S221">
        <v>50</v>
      </c>
      <c r="T221">
        <v>57</v>
      </c>
      <c r="U221">
        <v>75</v>
      </c>
      <c r="V221">
        <v>81</v>
      </c>
      <c r="W221">
        <v>58</v>
      </c>
      <c r="X221">
        <v>59</v>
      </c>
      <c r="Y221">
        <v>67</v>
      </c>
    </row>
    <row r="222" spans="1:148" x14ac:dyDescent="0.2">
      <c r="A222">
        <v>221</v>
      </c>
      <c r="B222" t="s">
        <v>416</v>
      </c>
      <c r="C222" t="s">
        <v>417</v>
      </c>
      <c r="D222" t="s">
        <v>418</v>
      </c>
      <c r="E222" t="s">
        <v>419</v>
      </c>
      <c r="F222" t="s">
        <v>354</v>
      </c>
      <c r="G222" t="s">
        <v>426</v>
      </c>
      <c r="H222">
        <v>424.75</v>
      </c>
      <c r="I222">
        <v>17309.18636</v>
      </c>
      <c r="J222">
        <f t="shared" si="6"/>
        <v>0.30974545272733389</v>
      </c>
      <c r="K222">
        <f t="shared" si="7"/>
        <v>0.29587693100509238</v>
      </c>
      <c r="L222">
        <v>12</v>
      </c>
      <c r="M222" t="s">
        <v>154</v>
      </c>
      <c r="N222">
        <v>19</v>
      </c>
      <c r="O222">
        <v>460</v>
      </c>
      <c r="P222">
        <v>479</v>
      </c>
      <c r="Q222">
        <v>480</v>
      </c>
      <c r="R222">
        <v>482</v>
      </c>
      <c r="S222">
        <v>496</v>
      </c>
      <c r="T222">
        <v>471</v>
      </c>
      <c r="U222">
        <v>393</v>
      </c>
      <c r="V222">
        <v>480</v>
      </c>
      <c r="W222">
        <v>410</v>
      </c>
      <c r="X222">
        <v>441</v>
      </c>
      <c r="Y222">
        <v>485</v>
      </c>
    </row>
    <row r="223" spans="1:148" x14ac:dyDescent="0.2">
      <c r="A223">
        <v>222</v>
      </c>
      <c r="B223" t="s">
        <v>318</v>
      </c>
      <c r="C223" t="s">
        <v>319</v>
      </c>
      <c r="D223" t="s">
        <v>320</v>
      </c>
      <c r="E223" t="s">
        <v>427</v>
      </c>
      <c r="F223" t="s">
        <v>354</v>
      </c>
      <c r="G223" t="s">
        <v>428</v>
      </c>
      <c r="H223">
        <v>11.456590909999999</v>
      </c>
      <c r="I223">
        <v>52.292376480000001</v>
      </c>
      <c r="J223">
        <f t="shared" si="6"/>
        <v>0.63119534009110223</v>
      </c>
      <c r="K223">
        <f t="shared" si="7"/>
        <v>0.53376107929607919</v>
      </c>
      <c r="L223">
        <v>44</v>
      </c>
      <c r="M223" t="s">
        <v>154</v>
      </c>
      <c r="Q223">
        <v>9</v>
      </c>
      <c r="S223">
        <v>9</v>
      </c>
      <c r="T223">
        <v>9</v>
      </c>
      <c r="U223">
        <v>5</v>
      </c>
      <c r="V223">
        <v>9</v>
      </c>
      <c r="W223">
        <v>18</v>
      </c>
      <c r="X223">
        <v>23</v>
      </c>
      <c r="Y223">
        <v>14</v>
      </c>
      <c r="Z223">
        <v>5</v>
      </c>
      <c r="AA223">
        <v>9</v>
      </c>
      <c r="AB223">
        <v>5</v>
      </c>
      <c r="AC223">
        <v>14</v>
      </c>
      <c r="AD223">
        <v>9</v>
      </c>
      <c r="AE223">
        <v>32</v>
      </c>
      <c r="AF223">
        <v>4.54</v>
      </c>
      <c r="AG223">
        <v>27.25</v>
      </c>
      <c r="AH223">
        <v>9.08</v>
      </c>
      <c r="AI223">
        <v>9.08</v>
      </c>
      <c r="AK223">
        <v>4.54</v>
      </c>
      <c r="AR223">
        <v>18.170000000000002</v>
      </c>
      <c r="AW223">
        <v>9.08</v>
      </c>
      <c r="AX223">
        <v>9.08</v>
      </c>
      <c r="AY223">
        <v>4.54</v>
      </c>
      <c r="AZ223">
        <v>9.08</v>
      </c>
      <c r="BA223">
        <v>4.54</v>
      </c>
      <c r="BB223">
        <v>9.08</v>
      </c>
      <c r="BC223">
        <v>13.63</v>
      </c>
      <c r="BG223">
        <v>13.63</v>
      </c>
      <c r="BH223">
        <v>9.08</v>
      </c>
      <c r="BI223">
        <v>13.63</v>
      </c>
      <c r="BJ223">
        <v>4.54</v>
      </c>
      <c r="BK223">
        <v>4.54</v>
      </c>
      <c r="BL223">
        <v>13.63</v>
      </c>
      <c r="BR223">
        <v>13.63</v>
      </c>
      <c r="BS223">
        <v>9.08</v>
      </c>
      <c r="BT223">
        <v>27.25</v>
      </c>
      <c r="BU223">
        <v>9.08</v>
      </c>
      <c r="BV223">
        <v>31.79</v>
      </c>
      <c r="BX223">
        <v>4.54</v>
      </c>
      <c r="CJ223">
        <v>18.170000000000002</v>
      </c>
      <c r="CY223">
        <v>9.08</v>
      </c>
      <c r="CZ223">
        <v>9.08</v>
      </c>
      <c r="DA223">
        <v>4.54</v>
      </c>
      <c r="DC223">
        <v>9.08</v>
      </c>
      <c r="DQ223">
        <v>9</v>
      </c>
      <c r="DR223">
        <v>32</v>
      </c>
      <c r="DS223">
        <v>14</v>
      </c>
      <c r="DT223">
        <v>5</v>
      </c>
      <c r="ED223">
        <v>14</v>
      </c>
      <c r="EE223">
        <v>5</v>
      </c>
      <c r="EF223">
        <v>14</v>
      </c>
      <c r="EH223">
        <v>5</v>
      </c>
      <c r="EK223">
        <v>5</v>
      </c>
      <c r="EL223">
        <v>5</v>
      </c>
    </row>
    <row r="224" spans="1:148" x14ac:dyDescent="0.2">
      <c r="A224">
        <v>223</v>
      </c>
      <c r="B224" t="s">
        <v>318</v>
      </c>
      <c r="C224" t="s">
        <v>319</v>
      </c>
      <c r="D224" t="s">
        <v>320</v>
      </c>
      <c r="E224" t="s">
        <v>427</v>
      </c>
      <c r="F224" t="s">
        <v>354</v>
      </c>
      <c r="G224" t="s">
        <v>429</v>
      </c>
      <c r="H224">
        <v>29.180470589999999</v>
      </c>
      <c r="I224">
        <v>508.95039980000001</v>
      </c>
      <c r="J224">
        <f t="shared" si="6"/>
        <v>0.77311738355587867</v>
      </c>
      <c r="K224">
        <f t="shared" si="7"/>
        <v>0.61164072631337041</v>
      </c>
      <c r="L224">
        <v>85</v>
      </c>
      <c r="M224" t="s">
        <v>154</v>
      </c>
      <c r="N224">
        <v>62</v>
      </c>
      <c r="O224">
        <v>6</v>
      </c>
      <c r="P224">
        <v>50</v>
      </c>
      <c r="Q224">
        <v>77</v>
      </c>
      <c r="R224">
        <v>81</v>
      </c>
      <c r="S224">
        <v>52</v>
      </c>
      <c r="T224">
        <v>62</v>
      </c>
      <c r="U224">
        <v>102</v>
      </c>
      <c r="V224">
        <v>91</v>
      </c>
      <c r="W224">
        <v>27</v>
      </c>
      <c r="X224">
        <v>41</v>
      </c>
      <c r="Y224">
        <v>41</v>
      </c>
      <c r="Z224">
        <v>56</v>
      </c>
      <c r="AA224">
        <v>58</v>
      </c>
      <c r="AB224">
        <v>8</v>
      </c>
      <c r="AC224">
        <v>19</v>
      </c>
      <c r="AD224">
        <v>39</v>
      </c>
      <c r="AE224">
        <v>48</v>
      </c>
      <c r="AF224">
        <v>82.89</v>
      </c>
      <c r="AG224">
        <v>35.229999999999997</v>
      </c>
      <c r="AH224">
        <v>55.95</v>
      </c>
      <c r="AI224">
        <v>18.649999999999999</v>
      </c>
      <c r="AJ224">
        <v>37.299999999999997</v>
      </c>
      <c r="AK224">
        <v>8.2899999999999991</v>
      </c>
      <c r="AL224">
        <v>8.2899999999999991</v>
      </c>
      <c r="AM224">
        <v>35.229999999999997</v>
      </c>
      <c r="AN224">
        <v>6.22</v>
      </c>
      <c r="AO224">
        <v>22.79</v>
      </c>
      <c r="AP224">
        <v>31.08</v>
      </c>
      <c r="AQ224">
        <v>10.36</v>
      </c>
      <c r="AR224">
        <v>8.2899999999999991</v>
      </c>
      <c r="AS224">
        <v>2.0699999999999998</v>
      </c>
      <c r="AT224">
        <v>4.1399999999999997</v>
      </c>
      <c r="AU224">
        <v>6.22</v>
      </c>
      <c r="AV224">
        <v>29.01</v>
      </c>
      <c r="AW224">
        <v>16.579999999999998</v>
      </c>
      <c r="AX224">
        <v>18.649999999999999</v>
      </c>
      <c r="AY224">
        <v>37.299999999999997</v>
      </c>
      <c r="AZ224">
        <v>18.649999999999999</v>
      </c>
      <c r="BA224">
        <v>22.79</v>
      </c>
      <c r="BB224">
        <v>8.2899999999999991</v>
      </c>
      <c r="BC224">
        <v>12.43</v>
      </c>
      <c r="BD224">
        <v>33.15</v>
      </c>
      <c r="BE224">
        <v>43.52</v>
      </c>
      <c r="BF224">
        <v>33.15</v>
      </c>
      <c r="BG224">
        <v>10.36</v>
      </c>
      <c r="BH224">
        <v>10.36</v>
      </c>
      <c r="BI224">
        <v>22.79</v>
      </c>
      <c r="BJ224">
        <v>29.01</v>
      </c>
      <c r="BK224">
        <v>2.0699999999999998</v>
      </c>
      <c r="BL224">
        <v>39.369999999999997</v>
      </c>
      <c r="BM224">
        <v>37.299999999999997</v>
      </c>
      <c r="BN224">
        <v>26.94</v>
      </c>
      <c r="BO224">
        <v>24.87</v>
      </c>
      <c r="BP224">
        <v>33.15</v>
      </c>
      <c r="BQ224">
        <v>33.15</v>
      </c>
      <c r="BR224">
        <v>39.369999999999997</v>
      </c>
      <c r="BS224">
        <v>60.09</v>
      </c>
      <c r="BT224">
        <v>39.369999999999997</v>
      </c>
      <c r="BU224">
        <v>16.579999999999998</v>
      </c>
      <c r="BV224">
        <v>8.2899999999999991</v>
      </c>
      <c r="BW224">
        <v>33.15</v>
      </c>
      <c r="BX224">
        <v>43.52</v>
      </c>
      <c r="BY224">
        <v>10.36</v>
      </c>
      <c r="BZ224">
        <v>20.72</v>
      </c>
      <c r="CA224">
        <v>6.22</v>
      </c>
      <c r="CB224">
        <v>39.369999999999997</v>
      </c>
      <c r="CC224">
        <v>51.8</v>
      </c>
      <c r="CD224">
        <v>4.1399999999999997</v>
      </c>
      <c r="CE224">
        <v>33.15</v>
      </c>
      <c r="CF224">
        <v>20.72</v>
      </c>
      <c r="CG224">
        <v>8.2899999999999991</v>
      </c>
      <c r="CH224">
        <v>66.31</v>
      </c>
      <c r="CI224">
        <v>18.649999999999999</v>
      </c>
      <c r="CJ224">
        <v>26.94</v>
      </c>
      <c r="CL224">
        <v>2.0699999999999998</v>
      </c>
      <c r="CM224">
        <v>8.2899999999999991</v>
      </c>
      <c r="CO224">
        <v>16.579999999999998</v>
      </c>
      <c r="CP224">
        <v>2.0699999999999998</v>
      </c>
      <c r="CQ224">
        <v>2.0699999999999998</v>
      </c>
      <c r="CS224">
        <v>10.36</v>
      </c>
      <c r="CU224">
        <v>4.1399999999999997</v>
      </c>
      <c r="CW224">
        <v>4.1399999999999997</v>
      </c>
      <c r="CY224">
        <v>39.369999999999997</v>
      </c>
      <c r="DC224">
        <v>8.2899999999999991</v>
      </c>
      <c r="DN224">
        <v>31</v>
      </c>
      <c r="DO224">
        <v>25</v>
      </c>
      <c r="DP224">
        <v>21</v>
      </c>
      <c r="DR224">
        <v>6</v>
      </c>
      <c r="DS224">
        <v>46</v>
      </c>
      <c r="DT224">
        <v>10</v>
      </c>
      <c r="DU224">
        <v>41</v>
      </c>
      <c r="DV224">
        <v>2</v>
      </c>
      <c r="DW224">
        <v>10</v>
      </c>
      <c r="DX224">
        <v>56</v>
      </c>
      <c r="DY224">
        <v>68</v>
      </c>
      <c r="DZ224">
        <v>27</v>
      </c>
      <c r="EA224">
        <v>60</v>
      </c>
      <c r="EB224">
        <v>44</v>
      </c>
      <c r="EC224">
        <v>93</v>
      </c>
      <c r="ED224">
        <v>19</v>
      </c>
      <c r="EE224">
        <v>50</v>
      </c>
      <c r="EF224">
        <v>8</v>
      </c>
      <c r="EG224">
        <v>37</v>
      </c>
      <c r="EH224">
        <v>2</v>
      </c>
      <c r="EI224">
        <v>15</v>
      </c>
      <c r="EJ224">
        <v>15</v>
      </c>
      <c r="EK224">
        <v>41</v>
      </c>
      <c r="EL224">
        <v>21</v>
      </c>
      <c r="EM224">
        <v>37</v>
      </c>
      <c r="EN224">
        <v>2</v>
      </c>
      <c r="EO224">
        <v>25</v>
      </c>
      <c r="EP224">
        <v>6</v>
      </c>
      <c r="ER224">
        <v>6</v>
      </c>
    </row>
    <row r="225" spans="1:148" x14ac:dyDescent="0.2">
      <c r="A225">
        <v>224</v>
      </c>
      <c r="B225" t="s">
        <v>318</v>
      </c>
      <c r="C225" t="s">
        <v>319</v>
      </c>
      <c r="D225" t="s">
        <v>320</v>
      </c>
      <c r="E225" t="s">
        <v>427</v>
      </c>
      <c r="F225" t="s">
        <v>354</v>
      </c>
      <c r="G225" t="s">
        <v>430</v>
      </c>
      <c r="H225">
        <v>33.967500000000001</v>
      </c>
      <c r="I225">
        <v>462.02408100000002</v>
      </c>
      <c r="J225">
        <f t="shared" si="6"/>
        <v>0.63280328041987433</v>
      </c>
      <c r="K225">
        <f t="shared" si="7"/>
        <v>0.53473236366576826</v>
      </c>
      <c r="L225">
        <v>88</v>
      </c>
      <c r="M225" t="s">
        <v>154</v>
      </c>
      <c r="Z225">
        <v>4</v>
      </c>
      <c r="AA225">
        <v>12</v>
      </c>
      <c r="AB225">
        <v>32</v>
      </c>
      <c r="AC225">
        <v>39</v>
      </c>
      <c r="AD225">
        <v>41</v>
      </c>
      <c r="AE225">
        <v>13</v>
      </c>
      <c r="AF225">
        <v>12</v>
      </c>
      <c r="AG225">
        <v>4</v>
      </c>
      <c r="AH225">
        <v>12</v>
      </c>
      <c r="AI225">
        <v>22.66</v>
      </c>
      <c r="AJ225">
        <v>10.67</v>
      </c>
      <c r="AK225">
        <v>20</v>
      </c>
      <c r="AL225">
        <v>4</v>
      </c>
      <c r="AM225">
        <v>10.67</v>
      </c>
      <c r="AN225">
        <v>56</v>
      </c>
      <c r="AO225">
        <v>28</v>
      </c>
      <c r="AP225">
        <v>8</v>
      </c>
      <c r="AQ225">
        <v>14.67</v>
      </c>
      <c r="AR225">
        <v>37.33</v>
      </c>
      <c r="AS225">
        <v>56</v>
      </c>
      <c r="AT225">
        <v>73.33</v>
      </c>
      <c r="AU225">
        <v>49.33</v>
      </c>
      <c r="AV225">
        <v>45.33</v>
      </c>
      <c r="AW225">
        <v>25.33</v>
      </c>
      <c r="AX225">
        <v>44</v>
      </c>
      <c r="AY225">
        <v>45.33</v>
      </c>
      <c r="AZ225">
        <v>12</v>
      </c>
      <c r="BA225">
        <v>33.33</v>
      </c>
      <c r="BB225">
        <v>54.66</v>
      </c>
      <c r="BC225">
        <v>17.329999999999998</v>
      </c>
      <c r="BD225">
        <v>14.67</v>
      </c>
      <c r="BE225">
        <v>29.33</v>
      </c>
      <c r="BF225">
        <v>14.67</v>
      </c>
      <c r="BG225">
        <v>41.33</v>
      </c>
      <c r="BH225">
        <v>40</v>
      </c>
      <c r="BI225">
        <v>17.329999999999998</v>
      </c>
      <c r="BJ225">
        <v>50.66</v>
      </c>
      <c r="BK225">
        <v>13.33</v>
      </c>
      <c r="BL225">
        <v>16</v>
      </c>
      <c r="BM225">
        <v>28</v>
      </c>
      <c r="BN225">
        <v>28</v>
      </c>
      <c r="BO225">
        <v>38.659999999999997</v>
      </c>
      <c r="BP225">
        <v>14.67</v>
      </c>
      <c r="BQ225">
        <v>14.67</v>
      </c>
      <c r="BR225">
        <v>10.67</v>
      </c>
      <c r="BS225">
        <v>29.33</v>
      </c>
      <c r="BT225">
        <v>12</v>
      </c>
      <c r="BU225">
        <v>29.33</v>
      </c>
      <c r="BV225">
        <v>22.66</v>
      </c>
      <c r="BW225">
        <v>57.33</v>
      </c>
      <c r="BX225">
        <v>24</v>
      </c>
      <c r="BY225">
        <v>34.659999999999997</v>
      </c>
      <c r="BZ225">
        <v>12</v>
      </c>
      <c r="CA225">
        <v>62.66</v>
      </c>
      <c r="CB225">
        <v>45.33</v>
      </c>
      <c r="CC225">
        <v>20</v>
      </c>
      <c r="CD225">
        <v>40</v>
      </c>
      <c r="CE225">
        <v>26.66</v>
      </c>
      <c r="CF225">
        <v>54.66</v>
      </c>
      <c r="CG225">
        <v>38.659999999999997</v>
      </c>
      <c r="CH225">
        <v>20</v>
      </c>
      <c r="CI225">
        <v>12</v>
      </c>
      <c r="CJ225">
        <v>12</v>
      </c>
      <c r="CK225">
        <v>30.66</v>
      </c>
      <c r="CL225">
        <v>32</v>
      </c>
      <c r="CM225">
        <v>48</v>
      </c>
      <c r="CN225">
        <v>1.33</v>
      </c>
      <c r="CO225">
        <v>34.659999999999997</v>
      </c>
      <c r="CP225">
        <v>48</v>
      </c>
      <c r="CQ225">
        <v>56</v>
      </c>
      <c r="CR225">
        <v>66.66</v>
      </c>
      <c r="CS225">
        <v>70.66</v>
      </c>
      <c r="CT225">
        <v>8</v>
      </c>
      <c r="CU225">
        <v>77.33</v>
      </c>
      <c r="CV225">
        <v>33.33</v>
      </c>
      <c r="CW225">
        <v>65.33</v>
      </c>
      <c r="CX225">
        <v>70.66</v>
      </c>
      <c r="CY225">
        <v>9.33</v>
      </c>
      <c r="CZ225">
        <v>46.66</v>
      </c>
      <c r="DA225">
        <v>61.33</v>
      </c>
      <c r="DB225">
        <v>60</v>
      </c>
      <c r="DC225">
        <v>18.670000000000002</v>
      </c>
      <c r="DD225">
        <v>78.66</v>
      </c>
      <c r="DE225">
        <v>25.33</v>
      </c>
      <c r="DF225">
        <v>44</v>
      </c>
      <c r="DG225">
        <v>93.33</v>
      </c>
      <c r="DH225">
        <v>75.989999999999995</v>
      </c>
      <c r="DI225">
        <v>70.66</v>
      </c>
      <c r="DJ225">
        <v>52</v>
      </c>
      <c r="DK225">
        <v>37</v>
      </c>
      <c r="DL225">
        <v>5</v>
      </c>
      <c r="DM225">
        <v>57</v>
      </c>
      <c r="DN225">
        <v>71</v>
      </c>
      <c r="DO225">
        <v>44</v>
      </c>
      <c r="DP225">
        <v>69</v>
      </c>
      <c r="DQ225">
        <v>36</v>
      </c>
      <c r="DR225">
        <v>20</v>
      </c>
      <c r="DS225">
        <v>27</v>
      </c>
      <c r="DT225">
        <v>65</v>
      </c>
      <c r="DU225">
        <v>40</v>
      </c>
      <c r="DV225">
        <v>45</v>
      </c>
      <c r="DW225">
        <v>60</v>
      </c>
      <c r="DX225">
        <v>36</v>
      </c>
      <c r="DZ225">
        <v>27</v>
      </c>
      <c r="EA225">
        <v>7</v>
      </c>
      <c r="EB225">
        <v>7</v>
      </c>
      <c r="ED225">
        <v>24</v>
      </c>
      <c r="EE225">
        <v>39</v>
      </c>
      <c r="EF225">
        <v>33</v>
      </c>
      <c r="EG225">
        <v>49</v>
      </c>
      <c r="EH225">
        <v>45</v>
      </c>
      <c r="EI225">
        <v>69</v>
      </c>
      <c r="EJ225">
        <v>31</v>
      </c>
      <c r="EK225">
        <v>44</v>
      </c>
      <c r="EL225">
        <v>63</v>
      </c>
      <c r="EM225">
        <v>36</v>
      </c>
      <c r="EN225">
        <v>59</v>
      </c>
      <c r="EO225">
        <v>33</v>
      </c>
      <c r="EP225">
        <v>13</v>
      </c>
      <c r="EQ225">
        <v>55</v>
      </c>
      <c r="ER225">
        <v>61</v>
      </c>
    </row>
    <row r="226" spans="1:148" x14ac:dyDescent="0.2">
      <c r="A226">
        <v>225</v>
      </c>
      <c r="B226" t="s">
        <v>318</v>
      </c>
      <c r="C226" t="s">
        <v>319</v>
      </c>
      <c r="D226" t="s">
        <v>320</v>
      </c>
      <c r="E226" t="s">
        <v>427</v>
      </c>
      <c r="F226" t="s">
        <v>354</v>
      </c>
      <c r="G226" t="s">
        <v>431</v>
      </c>
      <c r="H226">
        <v>2.6681249999999999</v>
      </c>
      <c r="I226">
        <v>3.3456695829999998</v>
      </c>
      <c r="J226">
        <f t="shared" si="6"/>
        <v>0.68554402790406033</v>
      </c>
      <c r="K226">
        <f t="shared" si="7"/>
        <v>0.56543283598622096</v>
      </c>
      <c r="L226">
        <v>16</v>
      </c>
      <c r="M226" t="s">
        <v>154</v>
      </c>
      <c r="AD226">
        <v>2</v>
      </c>
      <c r="AG226">
        <v>4.83</v>
      </c>
      <c r="AK226">
        <v>3.22</v>
      </c>
      <c r="AL226">
        <v>0.81</v>
      </c>
      <c r="AR226">
        <v>0.81</v>
      </c>
      <c r="AT226">
        <v>7.25</v>
      </c>
      <c r="AU226">
        <v>1.61</v>
      </c>
      <c r="AV226">
        <v>1.61</v>
      </c>
      <c r="AZ226">
        <v>3.22</v>
      </c>
      <c r="BA226">
        <v>1.61</v>
      </c>
      <c r="BC226">
        <v>1.61</v>
      </c>
      <c r="BE226">
        <v>3.22</v>
      </c>
      <c r="BJ226">
        <v>4.03</v>
      </c>
      <c r="CQ226">
        <v>4.83</v>
      </c>
      <c r="DA226">
        <v>1.61</v>
      </c>
      <c r="DB226">
        <v>0.81</v>
      </c>
      <c r="DP226">
        <v>2</v>
      </c>
      <c r="DR226">
        <v>7</v>
      </c>
      <c r="DW226">
        <v>2</v>
      </c>
      <c r="DX226">
        <v>3</v>
      </c>
      <c r="DZ226">
        <v>2</v>
      </c>
      <c r="EA226">
        <v>6</v>
      </c>
      <c r="EC226">
        <v>5</v>
      </c>
      <c r="ED226">
        <v>3</v>
      </c>
    </row>
    <row r="227" spans="1:148" x14ac:dyDescent="0.2">
      <c r="A227">
        <v>226</v>
      </c>
      <c r="B227" t="s">
        <v>318</v>
      </c>
      <c r="C227" t="s">
        <v>319</v>
      </c>
      <c r="D227" t="s">
        <v>320</v>
      </c>
      <c r="E227" t="s">
        <v>427</v>
      </c>
      <c r="F227" t="s">
        <v>354</v>
      </c>
      <c r="G227" t="s">
        <v>432</v>
      </c>
      <c r="H227">
        <v>104.1868182</v>
      </c>
      <c r="I227">
        <v>4322.38598</v>
      </c>
      <c r="J227">
        <f t="shared" si="6"/>
        <v>0.63102853408694148</v>
      </c>
      <c r="K227">
        <f t="shared" si="7"/>
        <v>0.53366019813267462</v>
      </c>
      <c r="L227">
        <v>44</v>
      </c>
      <c r="M227" t="s">
        <v>154</v>
      </c>
      <c r="Q227">
        <v>83</v>
      </c>
      <c r="S227">
        <v>83</v>
      </c>
      <c r="T227">
        <v>83</v>
      </c>
      <c r="U227">
        <v>41</v>
      </c>
      <c r="V227">
        <v>83</v>
      </c>
      <c r="W227">
        <v>165</v>
      </c>
      <c r="X227">
        <v>206</v>
      </c>
      <c r="Y227">
        <v>124</v>
      </c>
      <c r="Z227">
        <v>41</v>
      </c>
      <c r="AA227">
        <v>83</v>
      </c>
      <c r="AB227">
        <v>41</v>
      </c>
      <c r="AC227">
        <v>124</v>
      </c>
      <c r="AD227">
        <v>83</v>
      </c>
      <c r="AE227">
        <v>289</v>
      </c>
      <c r="AF227">
        <v>41.3</v>
      </c>
      <c r="AG227">
        <v>247.79</v>
      </c>
      <c r="AH227">
        <v>82.6</v>
      </c>
      <c r="AI227">
        <v>82.6</v>
      </c>
      <c r="AK227">
        <v>41.3</v>
      </c>
      <c r="AR227">
        <v>165.19</v>
      </c>
      <c r="AW227">
        <v>82.6</v>
      </c>
      <c r="AX227">
        <v>82.6</v>
      </c>
      <c r="AY227">
        <v>41.3</v>
      </c>
      <c r="AZ227">
        <v>82.6</v>
      </c>
      <c r="BA227">
        <v>41.3</v>
      </c>
      <c r="BB227">
        <v>82.6</v>
      </c>
      <c r="BC227">
        <v>123.9</v>
      </c>
      <c r="BG227">
        <v>123.9</v>
      </c>
      <c r="BH227">
        <v>82.6</v>
      </c>
      <c r="BI227">
        <v>123.9</v>
      </c>
      <c r="BJ227">
        <v>41.3</v>
      </c>
      <c r="BK227">
        <v>41.3</v>
      </c>
      <c r="BL227">
        <v>123.9</v>
      </c>
      <c r="BR227">
        <v>123.9</v>
      </c>
      <c r="BS227">
        <v>82.6</v>
      </c>
      <c r="BT227">
        <v>247.79</v>
      </c>
      <c r="BU227">
        <v>82.6</v>
      </c>
      <c r="BV227">
        <v>289.08999999999997</v>
      </c>
      <c r="BX227">
        <v>41.3</v>
      </c>
      <c r="CJ227">
        <v>165.19</v>
      </c>
      <c r="CY227">
        <v>82.6</v>
      </c>
      <c r="CZ227">
        <v>82.6</v>
      </c>
      <c r="DA227">
        <v>41.3</v>
      </c>
      <c r="DC227">
        <v>82.6</v>
      </c>
      <c r="DQ227">
        <v>83</v>
      </c>
      <c r="DR227">
        <v>289</v>
      </c>
      <c r="DS227">
        <v>124</v>
      </c>
      <c r="DT227">
        <v>41</v>
      </c>
      <c r="ED227">
        <v>124</v>
      </c>
      <c r="EE227">
        <v>41</v>
      </c>
      <c r="EF227">
        <v>124</v>
      </c>
      <c r="EH227">
        <v>41</v>
      </c>
      <c r="EK227">
        <v>41</v>
      </c>
      <c r="EL227">
        <v>41</v>
      </c>
    </row>
    <row r="228" spans="1:148" x14ac:dyDescent="0.2">
      <c r="A228">
        <v>227</v>
      </c>
      <c r="B228" t="s">
        <v>318</v>
      </c>
      <c r="C228" t="s">
        <v>319</v>
      </c>
      <c r="D228" t="s">
        <v>320</v>
      </c>
      <c r="E228" t="s">
        <v>427</v>
      </c>
      <c r="F228" t="s">
        <v>354</v>
      </c>
      <c r="G228" t="s">
        <v>433</v>
      </c>
      <c r="H228">
        <v>111.2425882</v>
      </c>
      <c r="I228">
        <v>7396.2036879999996</v>
      </c>
      <c r="J228">
        <f t="shared" si="6"/>
        <v>0.77309585848349327</v>
      </c>
      <c r="K228">
        <f t="shared" si="7"/>
        <v>0.61163006761244465</v>
      </c>
      <c r="L228">
        <v>85</v>
      </c>
      <c r="M228" t="s">
        <v>154</v>
      </c>
      <c r="N228">
        <v>237</v>
      </c>
      <c r="O228">
        <v>24</v>
      </c>
      <c r="P228">
        <v>190</v>
      </c>
      <c r="Q228">
        <v>292</v>
      </c>
      <c r="R228">
        <v>308</v>
      </c>
      <c r="S228">
        <v>197</v>
      </c>
      <c r="T228">
        <v>237</v>
      </c>
      <c r="U228">
        <v>387</v>
      </c>
      <c r="V228">
        <v>348</v>
      </c>
      <c r="W228">
        <v>103</v>
      </c>
      <c r="X228">
        <v>158</v>
      </c>
      <c r="Y228">
        <v>158</v>
      </c>
      <c r="Z228">
        <v>213</v>
      </c>
      <c r="AA228">
        <v>221</v>
      </c>
      <c r="AB228">
        <v>32</v>
      </c>
      <c r="AC228">
        <v>71</v>
      </c>
      <c r="AD228">
        <v>150</v>
      </c>
      <c r="AE228">
        <v>182</v>
      </c>
      <c r="AF228">
        <v>315.98</v>
      </c>
      <c r="AG228">
        <v>134.29</v>
      </c>
      <c r="AH228">
        <v>213.28</v>
      </c>
      <c r="AI228">
        <v>71.09</v>
      </c>
      <c r="AJ228">
        <v>142.19</v>
      </c>
      <c r="AK228">
        <v>31.6</v>
      </c>
      <c r="AL228">
        <v>31.6</v>
      </c>
      <c r="AM228">
        <v>134.29</v>
      </c>
      <c r="AN228">
        <v>23.7</v>
      </c>
      <c r="AO228">
        <v>86.89</v>
      </c>
      <c r="AP228">
        <v>118.49</v>
      </c>
      <c r="AQ228">
        <v>39.5</v>
      </c>
      <c r="AR228">
        <v>31.6</v>
      </c>
      <c r="AS228">
        <v>7.9</v>
      </c>
      <c r="AT228">
        <v>15.8</v>
      </c>
      <c r="AU228">
        <v>23.7</v>
      </c>
      <c r="AV228">
        <v>110.59</v>
      </c>
      <c r="AW228">
        <v>63.2</v>
      </c>
      <c r="AX228">
        <v>71.09</v>
      </c>
      <c r="AY228">
        <v>142.19</v>
      </c>
      <c r="AZ228">
        <v>71.09</v>
      </c>
      <c r="BA228">
        <v>86.89</v>
      </c>
      <c r="BB228">
        <v>31.6</v>
      </c>
      <c r="BC228">
        <v>47.4</v>
      </c>
      <c r="BD228">
        <v>126.39</v>
      </c>
      <c r="BE228">
        <v>165.89</v>
      </c>
      <c r="BF228">
        <v>126.39</v>
      </c>
      <c r="BG228">
        <v>39.5</v>
      </c>
      <c r="BH228">
        <v>39.5</v>
      </c>
      <c r="BI228">
        <v>86.89</v>
      </c>
      <c r="BJ228">
        <v>110.59</v>
      </c>
      <c r="BK228">
        <v>7.9</v>
      </c>
      <c r="BL228">
        <v>150.09</v>
      </c>
      <c r="BM228">
        <v>142.19</v>
      </c>
      <c r="BN228">
        <v>102.69</v>
      </c>
      <c r="BO228">
        <v>94.79</v>
      </c>
      <c r="BP228">
        <v>126.39</v>
      </c>
      <c r="BQ228">
        <v>126.39</v>
      </c>
      <c r="BR228">
        <v>150.09</v>
      </c>
      <c r="BS228">
        <v>229.08</v>
      </c>
      <c r="BT228">
        <v>150.09</v>
      </c>
      <c r="BU228">
        <v>63.2</v>
      </c>
      <c r="BV228">
        <v>31.6</v>
      </c>
      <c r="BW228">
        <v>126.39</v>
      </c>
      <c r="BX228">
        <v>165.89</v>
      </c>
      <c r="BY228">
        <v>39.5</v>
      </c>
      <c r="BZ228">
        <v>78.989999999999995</v>
      </c>
      <c r="CA228">
        <v>23.7</v>
      </c>
      <c r="CB228">
        <v>150.09</v>
      </c>
      <c r="CC228">
        <v>197.49</v>
      </c>
      <c r="CD228">
        <v>15.8</v>
      </c>
      <c r="CE228">
        <v>126.39</v>
      </c>
      <c r="CF228">
        <v>78.989999999999995</v>
      </c>
      <c r="CG228">
        <v>31.6</v>
      </c>
      <c r="CH228">
        <v>252.78</v>
      </c>
      <c r="CI228">
        <v>71.09</v>
      </c>
      <c r="CJ228">
        <v>102.69</v>
      </c>
      <c r="CL228">
        <v>7.9</v>
      </c>
      <c r="CM228">
        <v>31.6</v>
      </c>
      <c r="CO228">
        <v>63.2</v>
      </c>
      <c r="CP228">
        <v>7.9</v>
      </c>
      <c r="CQ228">
        <v>7.9</v>
      </c>
      <c r="CS228">
        <v>39.5</v>
      </c>
      <c r="CU228">
        <v>15.8</v>
      </c>
      <c r="CW228">
        <v>15.8</v>
      </c>
      <c r="CY228">
        <v>150.09</v>
      </c>
      <c r="DC228">
        <v>31.6</v>
      </c>
      <c r="DN228">
        <v>118</v>
      </c>
      <c r="DO228">
        <v>95</v>
      </c>
      <c r="DP228">
        <v>79</v>
      </c>
      <c r="DR228">
        <v>24</v>
      </c>
      <c r="DS228">
        <v>174</v>
      </c>
      <c r="DT228">
        <v>40</v>
      </c>
      <c r="DU228">
        <v>158</v>
      </c>
      <c r="DV228">
        <v>8</v>
      </c>
      <c r="DW228">
        <v>40</v>
      </c>
      <c r="DX228">
        <v>213</v>
      </c>
      <c r="DY228">
        <v>261</v>
      </c>
      <c r="DZ228">
        <v>103</v>
      </c>
      <c r="EA228">
        <v>229</v>
      </c>
      <c r="EB228">
        <v>166</v>
      </c>
      <c r="EC228">
        <v>355</v>
      </c>
      <c r="ED228">
        <v>71</v>
      </c>
      <c r="EE228">
        <v>190</v>
      </c>
      <c r="EF228">
        <v>32</v>
      </c>
      <c r="EG228">
        <v>142</v>
      </c>
      <c r="EH228">
        <v>8</v>
      </c>
      <c r="EI228">
        <v>55</v>
      </c>
      <c r="EJ228">
        <v>55</v>
      </c>
      <c r="EK228">
        <v>158</v>
      </c>
      <c r="EL228">
        <v>79</v>
      </c>
      <c r="EM228">
        <v>142</v>
      </c>
      <c r="EN228">
        <v>8</v>
      </c>
      <c r="EO228">
        <v>95</v>
      </c>
      <c r="EP228">
        <v>24</v>
      </c>
      <c r="ER228">
        <v>24</v>
      </c>
    </row>
    <row r="229" spans="1:148" x14ac:dyDescent="0.2">
      <c r="A229">
        <v>228</v>
      </c>
      <c r="B229" t="s">
        <v>318</v>
      </c>
      <c r="C229" t="s">
        <v>319</v>
      </c>
      <c r="D229" t="s">
        <v>320</v>
      </c>
      <c r="E229" t="s">
        <v>427</v>
      </c>
      <c r="F229" t="s">
        <v>354</v>
      </c>
      <c r="G229" t="s">
        <v>434</v>
      </c>
      <c r="H229">
        <v>102.3459091</v>
      </c>
      <c r="I229">
        <v>4194.6792310000001</v>
      </c>
      <c r="J229">
        <f t="shared" si="6"/>
        <v>0.63281809620019014</v>
      </c>
      <c r="K229">
        <f t="shared" si="7"/>
        <v>0.53474130337538872</v>
      </c>
      <c r="L229">
        <v>88</v>
      </c>
      <c r="M229" t="s">
        <v>154</v>
      </c>
      <c r="Z229">
        <v>12</v>
      </c>
      <c r="AA229">
        <v>36</v>
      </c>
      <c r="AB229">
        <v>96</v>
      </c>
      <c r="AC229">
        <v>117</v>
      </c>
      <c r="AD229">
        <v>125</v>
      </c>
      <c r="AE229">
        <v>40</v>
      </c>
      <c r="AF229">
        <v>36.15</v>
      </c>
      <c r="AG229">
        <v>12.05</v>
      </c>
      <c r="AH229">
        <v>36.15</v>
      </c>
      <c r="AI229">
        <v>68.290000000000006</v>
      </c>
      <c r="AJ229">
        <v>32.14</v>
      </c>
      <c r="AK229">
        <v>60.26</v>
      </c>
      <c r="AL229">
        <v>12.05</v>
      </c>
      <c r="AM229">
        <v>32.14</v>
      </c>
      <c r="AN229">
        <v>168.72</v>
      </c>
      <c r="AO229">
        <v>84.36</v>
      </c>
      <c r="AP229">
        <v>24.1</v>
      </c>
      <c r="AQ229">
        <v>44.19</v>
      </c>
      <c r="AR229">
        <v>112.48</v>
      </c>
      <c r="AS229">
        <v>168.72</v>
      </c>
      <c r="AT229">
        <v>220.94</v>
      </c>
      <c r="AU229">
        <v>148.63</v>
      </c>
      <c r="AV229">
        <v>136.58000000000001</v>
      </c>
      <c r="AW229">
        <v>76.33</v>
      </c>
      <c r="AX229">
        <v>132.57</v>
      </c>
      <c r="AY229">
        <v>136.58000000000001</v>
      </c>
      <c r="AZ229">
        <v>36.15</v>
      </c>
      <c r="BA229">
        <v>100.43</v>
      </c>
      <c r="BB229">
        <v>164.7</v>
      </c>
      <c r="BC229">
        <v>52.22</v>
      </c>
      <c r="BD229">
        <v>44.19</v>
      </c>
      <c r="BE229">
        <v>88.38</v>
      </c>
      <c r="BF229">
        <v>44.19</v>
      </c>
      <c r="BG229">
        <v>124.53</v>
      </c>
      <c r="BH229">
        <v>120.51</v>
      </c>
      <c r="BI229">
        <v>52.22</v>
      </c>
      <c r="BJ229">
        <v>152.65</v>
      </c>
      <c r="BK229">
        <v>40.17</v>
      </c>
      <c r="BL229">
        <v>48.21</v>
      </c>
      <c r="BM229">
        <v>84.36</v>
      </c>
      <c r="BN229">
        <v>84.36</v>
      </c>
      <c r="BO229">
        <v>116.5</v>
      </c>
      <c r="BP229">
        <v>44.19</v>
      </c>
      <c r="BQ229">
        <v>44.19</v>
      </c>
      <c r="BR229">
        <v>32.14</v>
      </c>
      <c r="BS229">
        <v>88.38</v>
      </c>
      <c r="BT229">
        <v>36.15</v>
      </c>
      <c r="BU229">
        <v>88.38</v>
      </c>
      <c r="BV229">
        <v>68.290000000000006</v>
      </c>
      <c r="BW229">
        <v>172.74</v>
      </c>
      <c r="BX229">
        <v>72.31</v>
      </c>
      <c r="BY229">
        <v>104.45</v>
      </c>
      <c r="BZ229">
        <v>36.15</v>
      </c>
      <c r="CA229">
        <v>188.81</v>
      </c>
      <c r="CB229">
        <v>136.58000000000001</v>
      </c>
      <c r="CC229">
        <v>60.26</v>
      </c>
      <c r="CD229">
        <v>120.51</v>
      </c>
      <c r="CE229">
        <v>80.34</v>
      </c>
      <c r="CF229">
        <v>164.7</v>
      </c>
      <c r="CG229">
        <v>116.5</v>
      </c>
      <c r="CH229">
        <v>60.26</v>
      </c>
      <c r="CI229">
        <v>36.15</v>
      </c>
      <c r="CJ229">
        <v>36.15</v>
      </c>
      <c r="CK229">
        <v>92.39</v>
      </c>
      <c r="CL229">
        <v>96.41</v>
      </c>
      <c r="CM229">
        <v>144.62</v>
      </c>
      <c r="CN229">
        <v>4.0199999999999996</v>
      </c>
      <c r="CO229">
        <v>104.45</v>
      </c>
      <c r="CP229">
        <v>144.62</v>
      </c>
      <c r="CQ229">
        <v>168.72</v>
      </c>
      <c r="CR229">
        <v>200.86</v>
      </c>
      <c r="CS229">
        <v>212.91</v>
      </c>
      <c r="CT229">
        <v>24.1</v>
      </c>
      <c r="CU229">
        <v>233</v>
      </c>
      <c r="CV229">
        <v>100.43</v>
      </c>
      <c r="CW229">
        <v>196.84</v>
      </c>
      <c r="CX229">
        <v>212.91</v>
      </c>
      <c r="CY229">
        <v>28.12</v>
      </c>
      <c r="CZ229">
        <v>140.6</v>
      </c>
      <c r="DA229">
        <v>184.79</v>
      </c>
      <c r="DB229">
        <v>180.77</v>
      </c>
      <c r="DC229">
        <v>56.24</v>
      </c>
      <c r="DD229">
        <v>237.01</v>
      </c>
      <c r="DE229">
        <v>76.33</v>
      </c>
      <c r="DF229">
        <v>132.57</v>
      </c>
      <c r="DG229">
        <v>281.2</v>
      </c>
      <c r="DH229">
        <v>228.98</v>
      </c>
      <c r="DI229">
        <v>212.91</v>
      </c>
      <c r="DJ229">
        <v>156.66999999999999</v>
      </c>
      <c r="DK229">
        <v>112</v>
      </c>
      <c r="DL229">
        <v>16</v>
      </c>
      <c r="DM229">
        <v>173</v>
      </c>
      <c r="DN229">
        <v>213</v>
      </c>
      <c r="DO229">
        <v>133</v>
      </c>
      <c r="DP229">
        <v>209</v>
      </c>
      <c r="DQ229">
        <v>108</v>
      </c>
      <c r="DR229">
        <v>60</v>
      </c>
      <c r="DS229">
        <v>80</v>
      </c>
      <c r="DT229">
        <v>197</v>
      </c>
      <c r="DU229">
        <v>121</v>
      </c>
      <c r="DV229">
        <v>137</v>
      </c>
      <c r="DW229">
        <v>181</v>
      </c>
      <c r="DX229">
        <v>108</v>
      </c>
      <c r="DZ229">
        <v>80</v>
      </c>
      <c r="EA229">
        <v>20</v>
      </c>
      <c r="EB229">
        <v>20</v>
      </c>
      <c r="ED229">
        <v>72</v>
      </c>
      <c r="EE229">
        <v>117</v>
      </c>
      <c r="EF229">
        <v>100</v>
      </c>
      <c r="EG229">
        <v>149</v>
      </c>
      <c r="EH229">
        <v>137</v>
      </c>
      <c r="EI229">
        <v>209</v>
      </c>
      <c r="EJ229">
        <v>92</v>
      </c>
      <c r="EK229">
        <v>133</v>
      </c>
      <c r="EL229">
        <v>189</v>
      </c>
      <c r="EM229">
        <v>108</v>
      </c>
      <c r="EN229">
        <v>177</v>
      </c>
      <c r="EO229">
        <v>100</v>
      </c>
      <c r="EP229">
        <v>40</v>
      </c>
      <c r="EQ229">
        <v>165</v>
      </c>
      <c r="ER229">
        <v>185</v>
      </c>
    </row>
    <row r="230" spans="1:148" x14ac:dyDescent="0.2">
      <c r="A230">
        <v>229</v>
      </c>
      <c r="B230" t="s">
        <v>318</v>
      </c>
      <c r="C230" t="s">
        <v>319</v>
      </c>
      <c r="D230" t="s">
        <v>320</v>
      </c>
      <c r="E230" t="s">
        <v>427</v>
      </c>
      <c r="F230" t="s">
        <v>354</v>
      </c>
      <c r="G230" t="s">
        <v>435</v>
      </c>
      <c r="H230">
        <v>3.0362499999999999</v>
      </c>
      <c r="I230">
        <v>4.3384783330000003</v>
      </c>
      <c r="J230">
        <f t="shared" si="6"/>
        <v>0.68601117227344677</v>
      </c>
      <c r="K230">
        <f t="shared" si="7"/>
        <v>0.56569486308726002</v>
      </c>
      <c r="L230">
        <v>16</v>
      </c>
      <c r="M230" t="s">
        <v>154</v>
      </c>
      <c r="AD230">
        <v>2</v>
      </c>
      <c r="AG230">
        <v>5.5</v>
      </c>
      <c r="AK230">
        <v>3.67</v>
      </c>
      <c r="AL230">
        <v>0.92</v>
      </c>
      <c r="AR230">
        <v>0.92</v>
      </c>
      <c r="AT230">
        <v>8.25</v>
      </c>
      <c r="AU230">
        <v>1.83</v>
      </c>
      <c r="AV230">
        <v>1.83</v>
      </c>
      <c r="AZ230">
        <v>3.67</v>
      </c>
      <c r="BA230">
        <v>1.83</v>
      </c>
      <c r="BC230">
        <v>1.83</v>
      </c>
      <c r="BE230">
        <v>3.67</v>
      </c>
      <c r="BJ230">
        <v>4.58</v>
      </c>
      <c r="CQ230">
        <v>5.5</v>
      </c>
      <c r="DA230">
        <v>1.83</v>
      </c>
      <c r="DB230">
        <v>0.92</v>
      </c>
      <c r="DP230">
        <v>3</v>
      </c>
      <c r="DR230">
        <v>8</v>
      </c>
      <c r="DW230">
        <v>2</v>
      </c>
      <c r="DX230">
        <v>4</v>
      </c>
      <c r="DZ230">
        <v>3</v>
      </c>
      <c r="EA230">
        <v>7</v>
      </c>
      <c r="EC230">
        <v>6</v>
      </c>
      <c r="ED230">
        <v>4</v>
      </c>
    </row>
    <row r="231" spans="1:148" x14ac:dyDescent="0.2">
      <c r="A231">
        <v>230</v>
      </c>
      <c r="B231" t="s">
        <v>328</v>
      </c>
      <c r="C231" t="s">
        <v>329</v>
      </c>
      <c r="D231" t="s">
        <v>330</v>
      </c>
      <c r="E231" t="s">
        <v>436</v>
      </c>
      <c r="F231" t="s">
        <v>354</v>
      </c>
      <c r="G231" t="s">
        <v>437</v>
      </c>
      <c r="H231">
        <v>0.39619764699999999</v>
      </c>
      <c r="I231">
        <v>0.77971623800000001</v>
      </c>
      <c r="J231">
        <f t="shared" si="6"/>
        <v>2.2287245522721593</v>
      </c>
      <c r="K231">
        <f t="shared" si="7"/>
        <v>0.91236921410301797</v>
      </c>
      <c r="L231">
        <v>34</v>
      </c>
      <c r="M231" t="s">
        <v>154</v>
      </c>
      <c r="N231">
        <v>1.1E-4</v>
      </c>
      <c r="P231">
        <v>1.2E-4</v>
      </c>
      <c r="S231">
        <v>1.2999999999999999E-4</v>
      </c>
      <c r="AD231">
        <v>1.1E-4</v>
      </c>
      <c r="AF231">
        <v>9.3999999999999997E-4</v>
      </c>
      <c r="AH231">
        <v>8.1839999999999996E-2</v>
      </c>
      <c r="AJ231">
        <v>3.2649999999999998E-2</v>
      </c>
      <c r="AK231">
        <v>1.1E-4</v>
      </c>
      <c r="AL231">
        <v>0.67230000000000001</v>
      </c>
      <c r="AM231">
        <v>1.2E-4</v>
      </c>
      <c r="AP231">
        <v>9.8780000000000007E-2</v>
      </c>
      <c r="AQ231">
        <v>1.1E-4</v>
      </c>
      <c r="AS231">
        <v>1.2E-4</v>
      </c>
      <c r="BC231">
        <v>0.10091</v>
      </c>
      <c r="BD231">
        <v>1.2999999999999999E-4</v>
      </c>
      <c r="BE231">
        <v>2.4851299999999998</v>
      </c>
      <c r="BG231">
        <v>1.1E-4</v>
      </c>
      <c r="BH231">
        <v>2.3651800000000001</v>
      </c>
      <c r="BI231">
        <v>1.63805</v>
      </c>
      <c r="BK231">
        <v>3.0978400000000001</v>
      </c>
      <c r="BM231">
        <v>2.5454500000000002</v>
      </c>
      <c r="BO231">
        <v>1.2E-4</v>
      </c>
      <c r="BP231">
        <v>1.4999999999999999E-4</v>
      </c>
      <c r="BQ231">
        <v>0.17896999999999999</v>
      </c>
      <c r="BU231">
        <v>1.2E-4</v>
      </c>
      <c r="BX231">
        <v>1.4999999999999999E-4</v>
      </c>
      <c r="BY231">
        <v>1.2E-4</v>
      </c>
      <c r="CA231">
        <v>1.2E-4</v>
      </c>
      <c r="CC231">
        <v>1.2E-4</v>
      </c>
      <c r="CE231">
        <v>1.2E-4</v>
      </c>
      <c r="CF231">
        <v>1.4999999999999999E-4</v>
      </c>
      <c r="CI231">
        <v>1.2E-4</v>
      </c>
      <c r="CJ231">
        <v>0.16388</v>
      </c>
      <c r="CK231">
        <v>6.3400000000000001E-3</v>
      </c>
    </row>
    <row r="232" spans="1:148" x14ac:dyDescent="0.2">
      <c r="A232">
        <v>231</v>
      </c>
      <c r="B232" t="s">
        <v>328</v>
      </c>
      <c r="C232" t="s">
        <v>329</v>
      </c>
      <c r="D232" t="s">
        <v>330</v>
      </c>
      <c r="E232" t="s">
        <v>438</v>
      </c>
      <c r="F232" t="s">
        <v>354</v>
      </c>
      <c r="G232" t="s">
        <v>439</v>
      </c>
      <c r="H232">
        <v>4.0557241000000001E-2</v>
      </c>
      <c r="I232">
        <v>8.0224059999999993E-3</v>
      </c>
      <c r="J232">
        <f t="shared" si="6"/>
        <v>2.2084314085744219</v>
      </c>
      <c r="K232">
        <f t="shared" si="7"/>
        <v>0.91096106406707478</v>
      </c>
      <c r="L232">
        <v>29</v>
      </c>
      <c r="M232" t="s">
        <v>154</v>
      </c>
      <c r="N232">
        <v>1.057E-2</v>
      </c>
      <c r="O232">
        <v>7.43E-3</v>
      </c>
      <c r="P232">
        <v>4.2300000000000003E-3</v>
      </c>
      <c r="Q232">
        <v>2.8600000000000001E-3</v>
      </c>
      <c r="R232">
        <v>0.25101000000000001</v>
      </c>
      <c r="S232">
        <v>4.231E-2</v>
      </c>
      <c r="T232">
        <v>2.9399999999999999E-3</v>
      </c>
      <c r="U232">
        <v>6.8799999999999998E-3</v>
      </c>
      <c r="V232">
        <v>0.42505999999999999</v>
      </c>
      <c r="W232">
        <v>2.069E-2</v>
      </c>
      <c r="Z232">
        <v>0.12321</v>
      </c>
      <c r="AA232">
        <v>4.0980000000000003E-2</v>
      </c>
      <c r="AB232">
        <v>2.1099999999999999E-3</v>
      </c>
      <c r="AC232">
        <v>2.546E-2</v>
      </c>
      <c r="AD232">
        <v>7.4459999999999998E-2</v>
      </c>
      <c r="AE232">
        <v>1.5900000000000001E-3</v>
      </c>
      <c r="AF232">
        <v>4.4600000000000004E-3</v>
      </c>
      <c r="AG232">
        <v>1.0659999999999999E-2</v>
      </c>
      <c r="AN232">
        <v>1.652E-2</v>
      </c>
      <c r="AO232">
        <v>1.06E-3</v>
      </c>
      <c r="AP232">
        <v>1.2E-4</v>
      </c>
      <c r="AT232">
        <v>3.1280000000000002E-2</v>
      </c>
      <c r="AU232">
        <v>1.1140000000000001E-2</v>
      </c>
      <c r="AV232">
        <v>1.2E-4</v>
      </c>
      <c r="AZ232">
        <v>3.304E-2</v>
      </c>
      <c r="BA232">
        <v>3.1800000000000001E-3</v>
      </c>
      <c r="BB232">
        <v>2.2550000000000001E-2</v>
      </c>
      <c r="CA232">
        <v>1.2E-4</v>
      </c>
      <c r="CC232">
        <v>1.2E-4</v>
      </c>
    </row>
    <row r="233" spans="1:148" x14ac:dyDescent="0.2">
      <c r="A233">
        <v>232</v>
      </c>
      <c r="B233" t="s">
        <v>328</v>
      </c>
      <c r="C233" t="s">
        <v>329</v>
      </c>
      <c r="D233" t="s">
        <v>330</v>
      </c>
      <c r="E233" t="s">
        <v>440</v>
      </c>
      <c r="F233" t="s">
        <v>354</v>
      </c>
      <c r="G233" t="s">
        <v>441</v>
      </c>
      <c r="H233">
        <v>6.1712499999999997E-3</v>
      </c>
      <c r="I233" s="1">
        <v>8.0127800000000002E-5</v>
      </c>
      <c r="J233">
        <f t="shared" si="6"/>
        <v>1.450502458372986</v>
      </c>
      <c r="K233">
        <f t="shared" si="7"/>
        <v>0.82330469944380702</v>
      </c>
      <c r="L233">
        <v>16</v>
      </c>
      <c r="M233" t="s">
        <v>154</v>
      </c>
      <c r="N233">
        <v>1.9380000000000001E-2</v>
      </c>
      <c r="O233">
        <v>1.2999999999999999E-4</v>
      </c>
      <c r="Q233">
        <v>4.0000000000000003E-5</v>
      </c>
      <c r="R233">
        <v>1.883E-2</v>
      </c>
      <c r="S233">
        <v>1.33E-3</v>
      </c>
      <c r="T233">
        <v>2.7000000000000001E-3</v>
      </c>
      <c r="U233">
        <v>4.0000000000000003E-5</v>
      </c>
      <c r="V233">
        <v>2.2249999999999999E-2</v>
      </c>
      <c r="W233">
        <v>1.8600000000000001E-3</v>
      </c>
      <c r="Z233">
        <v>2.2689999999999998E-2</v>
      </c>
      <c r="AA233">
        <v>1.2999999999999999E-4</v>
      </c>
      <c r="AB233">
        <v>1.2E-4</v>
      </c>
      <c r="AC233">
        <v>4.0000000000000003E-5</v>
      </c>
      <c r="AD233">
        <v>7.4900000000000001E-3</v>
      </c>
      <c r="AF233">
        <v>1.2E-4</v>
      </c>
      <c r="AG233">
        <v>1.5900000000000001E-3</v>
      </c>
    </row>
    <row r="234" spans="1:148" x14ac:dyDescent="0.2">
      <c r="A234">
        <v>233</v>
      </c>
      <c r="B234" t="s">
        <v>328</v>
      </c>
      <c r="C234" t="s">
        <v>329</v>
      </c>
      <c r="D234" t="s">
        <v>330</v>
      </c>
      <c r="E234" t="s">
        <v>440</v>
      </c>
      <c r="F234" t="s">
        <v>354</v>
      </c>
      <c r="G234" t="s">
        <v>442</v>
      </c>
      <c r="H234">
        <v>5.7331480999999997E-2</v>
      </c>
      <c r="I234">
        <v>2.1922959999999998E-2</v>
      </c>
      <c r="J234">
        <f t="shared" si="6"/>
        <v>2.5825957679137481</v>
      </c>
      <c r="K234">
        <f t="shared" si="7"/>
        <v>0.93253338763227667</v>
      </c>
      <c r="L234">
        <v>27</v>
      </c>
      <c r="M234" t="s">
        <v>154</v>
      </c>
      <c r="N234">
        <v>9.2079999999999995E-2</v>
      </c>
      <c r="O234">
        <v>4.9869999999999998E-2</v>
      </c>
      <c r="P234">
        <v>2.1610000000000001E-2</v>
      </c>
      <c r="Q234">
        <v>5.0899999999999999E-3</v>
      </c>
      <c r="R234">
        <v>0.16026000000000001</v>
      </c>
      <c r="S234">
        <v>1.711E-2</v>
      </c>
      <c r="T234">
        <v>1.17E-3</v>
      </c>
      <c r="U234">
        <v>7.7999999999999996E-3</v>
      </c>
      <c r="V234">
        <v>1.068E-2</v>
      </c>
      <c r="W234">
        <v>1.2999999999999999E-4</v>
      </c>
      <c r="Z234">
        <v>6.4979999999999996E-2</v>
      </c>
      <c r="AA234">
        <v>0.19349</v>
      </c>
      <c r="AB234">
        <v>2E-3</v>
      </c>
      <c r="AC234">
        <v>1.6389999999999998E-2</v>
      </c>
      <c r="AD234">
        <v>7.4900000000000001E-3</v>
      </c>
      <c r="AE234">
        <v>2.1749999999999999E-2</v>
      </c>
      <c r="AF234">
        <v>1.2E-4</v>
      </c>
      <c r="AG234">
        <v>1.6000000000000001E-4</v>
      </c>
      <c r="AH234">
        <v>1.1E-4</v>
      </c>
      <c r="AJ234">
        <v>6.11E-3</v>
      </c>
      <c r="AO234">
        <v>5.4400000000000004E-3</v>
      </c>
      <c r="AP234">
        <v>6.2300000000000003E-3</v>
      </c>
      <c r="AT234">
        <v>0.75797000000000003</v>
      </c>
      <c r="AU234">
        <v>1.857E-2</v>
      </c>
      <c r="AZ234">
        <v>5.8380000000000001E-2</v>
      </c>
      <c r="BA234">
        <v>7.6899999999999998E-3</v>
      </c>
      <c r="BB234">
        <v>1.5270000000000001E-2</v>
      </c>
    </row>
    <row r="235" spans="1:148" x14ac:dyDescent="0.2">
      <c r="A235">
        <v>234</v>
      </c>
      <c r="B235" t="s">
        <v>328</v>
      </c>
      <c r="C235" t="s">
        <v>329</v>
      </c>
      <c r="D235" t="s">
        <v>330</v>
      </c>
      <c r="E235" t="s">
        <v>440</v>
      </c>
      <c r="F235" t="s">
        <v>354</v>
      </c>
      <c r="G235" t="s">
        <v>443</v>
      </c>
      <c r="H235">
        <v>3.2911110000000002E-3</v>
      </c>
      <c r="I235" s="1">
        <v>3.1248799999999998E-5</v>
      </c>
      <c r="J235">
        <f t="shared" si="6"/>
        <v>1.6985335989749824</v>
      </c>
      <c r="K235">
        <f t="shared" si="7"/>
        <v>0.86174290151062083</v>
      </c>
      <c r="L235">
        <v>18</v>
      </c>
      <c r="M235" t="s">
        <v>154</v>
      </c>
      <c r="N235">
        <v>1.1E-4</v>
      </c>
      <c r="O235">
        <v>1.2999999999999999E-4</v>
      </c>
      <c r="P235">
        <v>4.2300000000000003E-3</v>
      </c>
      <c r="Q235">
        <v>3.3400000000000001E-3</v>
      </c>
      <c r="R235">
        <v>2.7499999999999998E-3</v>
      </c>
      <c r="S235">
        <v>1.99E-3</v>
      </c>
      <c r="T235">
        <v>1.2E-4</v>
      </c>
      <c r="U235">
        <v>4.0000000000000003E-5</v>
      </c>
      <c r="V235">
        <v>3.3E-4</v>
      </c>
      <c r="W235">
        <v>1.4599999999999999E-3</v>
      </c>
      <c r="Z235">
        <v>3.3E-4</v>
      </c>
      <c r="AA235">
        <v>6.8999999999999999E-3</v>
      </c>
      <c r="AB235">
        <v>5.9000000000000003E-4</v>
      </c>
      <c r="AC235">
        <v>2.324E-2</v>
      </c>
      <c r="AE235">
        <v>7.9600000000000001E-3</v>
      </c>
      <c r="AF235">
        <v>5.64E-3</v>
      </c>
      <c r="AG235">
        <v>4.0000000000000003E-5</v>
      </c>
      <c r="BZ235">
        <v>4.0000000000000003E-5</v>
      </c>
    </row>
    <row r="236" spans="1:148" x14ac:dyDescent="0.2">
      <c r="A236">
        <v>235</v>
      </c>
      <c r="B236" t="s">
        <v>328</v>
      </c>
      <c r="C236" t="s">
        <v>329</v>
      </c>
      <c r="D236" t="s">
        <v>330</v>
      </c>
      <c r="E236" t="s">
        <v>440</v>
      </c>
      <c r="F236" t="s">
        <v>354</v>
      </c>
      <c r="G236" t="s">
        <v>444</v>
      </c>
      <c r="H236">
        <v>0.32024907000000002</v>
      </c>
      <c r="I236">
        <v>0.38887562599999997</v>
      </c>
      <c r="J236">
        <f t="shared" si="6"/>
        <v>1.9472310423983055</v>
      </c>
      <c r="K236">
        <f t="shared" si="7"/>
        <v>0.88955392188398041</v>
      </c>
      <c r="L236">
        <v>43</v>
      </c>
      <c r="M236" t="s">
        <v>154</v>
      </c>
      <c r="N236">
        <v>1.1E-4</v>
      </c>
      <c r="AC236">
        <v>6.4000000000000005E-4</v>
      </c>
      <c r="AH236">
        <v>8.8220000000000007E-2</v>
      </c>
      <c r="AI236">
        <v>4.6949999999999999E-2</v>
      </c>
      <c r="AJ236">
        <v>2.537E-2</v>
      </c>
      <c r="AK236">
        <v>3.0465200000000001</v>
      </c>
      <c r="AL236">
        <v>0.30610999999999999</v>
      </c>
      <c r="AM236">
        <v>3.0890000000000001E-2</v>
      </c>
      <c r="AN236">
        <v>0.48687999999999998</v>
      </c>
      <c r="AO236">
        <v>8.4370000000000001E-2</v>
      </c>
      <c r="AP236">
        <v>3.0190000000000002E-2</v>
      </c>
      <c r="AQ236">
        <v>1.1E-4</v>
      </c>
      <c r="AR236">
        <v>1.2999999999999999E-4</v>
      </c>
      <c r="AS236">
        <v>1.2E-4</v>
      </c>
      <c r="AT236">
        <v>0.42403000000000002</v>
      </c>
      <c r="AU236">
        <v>0.39663999999999999</v>
      </c>
      <c r="AV236">
        <v>1.2E-4</v>
      </c>
      <c r="AW236">
        <v>1.1E-4</v>
      </c>
      <c r="AX236">
        <v>1.2999999999999999E-4</v>
      </c>
      <c r="AY236">
        <v>0.12461999999999999</v>
      </c>
      <c r="BB236">
        <v>1.2E-4</v>
      </c>
      <c r="BC236">
        <v>5.287E-2</v>
      </c>
      <c r="BD236">
        <v>1.2999999999999999E-4</v>
      </c>
      <c r="BE236">
        <v>5.9200000000000003E-2</v>
      </c>
      <c r="BG236">
        <v>0.97938000000000003</v>
      </c>
      <c r="BH236">
        <v>0.55147000000000002</v>
      </c>
      <c r="BI236">
        <v>1.0884100000000001</v>
      </c>
      <c r="BK236">
        <v>1.24244</v>
      </c>
      <c r="BM236">
        <v>2.1099399999999999</v>
      </c>
      <c r="BN236">
        <v>4.0000000000000003E-5</v>
      </c>
      <c r="BP236">
        <v>1.4999999999999999E-4</v>
      </c>
      <c r="BQ236">
        <v>0.45712000000000003</v>
      </c>
      <c r="BU236">
        <v>1.2E-4</v>
      </c>
      <c r="BW236">
        <v>0.29865000000000003</v>
      </c>
      <c r="BX236">
        <v>0.36779000000000001</v>
      </c>
      <c r="BY236">
        <v>1.36744</v>
      </c>
      <c r="CB236">
        <v>1.4999999999999999E-4</v>
      </c>
      <c r="CC236">
        <v>1.2E-4</v>
      </c>
      <c r="CE236">
        <v>1.2E-4</v>
      </c>
      <c r="CF236">
        <v>1.4999999999999999E-4</v>
      </c>
      <c r="CG236">
        <v>6.1550000000000001E-2</v>
      </c>
      <c r="CI236">
        <v>1.2E-4</v>
      </c>
      <c r="CJ236">
        <v>4.0969999999999999E-2</v>
      </c>
    </row>
    <row r="237" spans="1:148" x14ac:dyDescent="0.2">
      <c r="A237">
        <v>236</v>
      </c>
      <c r="B237" t="s">
        <v>328</v>
      </c>
      <c r="C237" t="s">
        <v>329</v>
      </c>
      <c r="D237" t="s">
        <v>330</v>
      </c>
      <c r="E237" t="s">
        <v>440</v>
      </c>
      <c r="F237" t="s">
        <v>354</v>
      </c>
      <c r="G237" t="s">
        <v>445</v>
      </c>
      <c r="H237">
        <v>0.13984666700000001</v>
      </c>
      <c r="I237">
        <v>0.21274916999999999</v>
      </c>
      <c r="J237">
        <f t="shared" si="6"/>
        <v>3.2982366787245181</v>
      </c>
      <c r="K237">
        <f t="shared" si="7"/>
        <v>0.95698136390777722</v>
      </c>
      <c r="L237">
        <v>12</v>
      </c>
      <c r="M237" t="s">
        <v>154</v>
      </c>
      <c r="AO237">
        <v>6.3499999999999997E-3</v>
      </c>
      <c r="AU237">
        <v>2.0879999999999999E-2</v>
      </c>
      <c r="AV237">
        <v>1.2E-4</v>
      </c>
      <c r="AW237">
        <v>1.1E-4</v>
      </c>
      <c r="BG237">
        <v>1.1E-4</v>
      </c>
      <c r="BK237">
        <v>1.2E-4</v>
      </c>
      <c r="BQ237">
        <v>5.2300000000000003E-3</v>
      </c>
      <c r="BW237">
        <v>1.60398</v>
      </c>
      <c r="BX237">
        <v>4.0869999999999997E-2</v>
      </c>
      <c r="CC237">
        <v>1.2E-4</v>
      </c>
      <c r="CE237">
        <v>1.2E-4</v>
      </c>
      <c r="CF237">
        <v>1.4999999999999999E-4</v>
      </c>
    </row>
    <row r="238" spans="1:148" x14ac:dyDescent="0.2">
      <c r="A238">
        <v>237</v>
      </c>
      <c r="B238" t="s">
        <v>328</v>
      </c>
      <c r="C238" t="s">
        <v>329</v>
      </c>
      <c r="D238" t="s">
        <v>330</v>
      </c>
      <c r="E238" t="s">
        <v>438</v>
      </c>
      <c r="F238" t="s">
        <v>354</v>
      </c>
      <c r="G238" t="s">
        <v>446</v>
      </c>
      <c r="H238">
        <v>2.7117859999999999E-3</v>
      </c>
      <c r="I238" s="1">
        <v>2.5766799999999999E-5</v>
      </c>
      <c r="J238">
        <f t="shared" si="6"/>
        <v>1.8718663146067249</v>
      </c>
      <c r="K238">
        <f t="shared" si="7"/>
        <v>0.88202573102046034</v>
      </c>
      <c r="L238">
        <v>28</v>
      </c>
      <c r="M238" t="s">
        <v>154</v>
      </c>
      <c r="N238">
        <v>3.0799999999999998E-3</v>
      </c>
      <c r="O238">
        <v>1.2999999999999999E-4</v>
      </c>
      <c r="Q238">
        <v>9.5E-4</v>
      </c>
      <c r="R238">
        <v>1.1E-4</v>
      </c>
      <c r="S238">
        <v>1.2999999999999999E-4</v>
      </c>
      <c r="T238">
        <v>1.515E-2</v>
      </c>
      <c r="U238">
        <v>4.0000000000000003E-5</v>
      </c>
      <c r="V238">
        <v>1.1E-4</v>
      </c>
      <c r="W238">
        <v>3.98E-3</v>
      </c>
      <c r="Z238">
        <v>2.64E-3</v>
      </c>
      <c r="AB238">
        <v>1.2E-4</v>
      </c>
      <c r="AC238">
        <v>6.4000000000000005E-4</v>
      </c>
      <c r="AD238">
        <v>1.1E-4</v>
      </c>
      <c r="AE238">
        <v>1.2999999999999999E-4</v>
      </c>
      <c r="AF238">
        <v>1.2E-4</v>
      </c>
      <c r="AG238">
        <v>3.2000000000000003E-4</v>
      </c>
      <c r="AO238">
        <v>8.0000000000000004E-4</v>
      </c>
      <c r="AT238">
        <v>7.0499999999999998E-3</v>
      </c>
      <c r="AU238">
        <v>6.8999999999999999E-3</v>
      </c>
      <c r="AV238">
        <v>1.2E-4</v>
      </c>
      <c r="AZ238">
        <v>5.5100000000000001E-3</v>
      </c>
      <c r="BB238">
        <v>5.1700000000000001E-3</v>
      </c>
      <c r="BD238">
        <v>1.2999999999999999E-4</v>
      </c>
      <c r="BI238">
        <v>1.2E-4</v>
      </c>
      <c r="CA238">
        <v>2.198E-2</v>
      </c>
      <c r="CB238">
        <v>1.4999999999999999E-4</v>
      </c>
      <c r="CC238">
        <v>1.2E-4</v>
      </c>
      <c r="CI238">
        <v>1.2E-4</v>
      </c>
    </row>
    <row r="239" spans="1:148" x14ac:dyDescent="0.2">
      <c r="A239">
        <v>238</v>
      </c>
      <c r="B239" t="s">
        <v>447</v>
      </c>
      <c r="C239" t="s">
        <v>448</v>
      </c>
      <c r="E239" t="s">
        <v>449</v>
      </c>
      <c r="F239" t="s">
        <v>450</v>
      </c>
      <c r="G239" t="s">
        <v>451</v>
      </c>
      <c r="H239">
        <v>6.6237500000000005E-2</v>
      </c>
      <c r="I239">
        <v>2.0111759999999999E-3</v>
      </c>
      <c r="J239">
        <f t="shared" si="6"/>
        <v>0.67705056738824765</v>
      </c>
      <c r="K239">
        <f t="shared" si="7"/>
        <v>0.56063880587986559</v>
      </c>
      <c r="L239">
        <v>24</v>
      </c>
      <c r="M239" t="s">
        <v>154</v>
      </c>
      <c r="N239">
        <v>2.64E-2</v>
      </c>
      <c r="O239">
        <v>5.9799999999999999E-2</v>
      </c>
      <c r="P239">
        <v>4.9200000000000001E-2</v>
      </c>
      <c r="Q239">
        <v>0.16930000000000001</v>
      </c>
      <c r="R239">
        <v>0.2172</v>
      </c>
      <c r="S239">
        <v>9.2999999999999999E-2</v>
      </c>
      <c r="T239">
        <v>6.3299999999999995E-2</v>
      </c>
      <c r="U239">
        <v>4.87E-2</v>
      </c>
      <c r="V239">
        <v>0.1222</v>
      </c>
      <c r="W239">
        <v>1.8200000000000001E-2</v>
      </c>
      <c r="X239">
        <v>4.5600000000000002E-2</v>
      </c>
      <c r="Y239">
        <v>5.45E-2</v>
      </c>
      <c r="Z239">
        <v>4.045E-2</v>
      </c>
      <c r="AA239">
        <v>5.1499999999999997E-2</v>
      </c>
      <c r="AB239">
        <v>6.7199999999999996E-2</v>
      </c>
      <c r="AC239">
        <v>6.9800000000000001E-2</v>
      </c>
      <c r="AD239">
        <v>5.4800000000000001E-2</v>
      </c>
      <c r="AE239">
        <v>6.6400000000000001E-2</v>
      </c>
      <c r="AF239">
        <v>5.4699999999999999E-2</v>
      </c>
      <c r="AG239">
        <v>4.41E-2</v>
      </c>
      <c r="AH239">
        <v>4.5100000000000001E-2</v>
      </c>
      <c r="AJ239">
        <v>4.4999999999999998E-2</v>
      </c>
      <c r="AK239">
        <v>4.9750000000000003E-2</v>
      </c>
      <c r="AL239">
        <v>3.3500000000000002E-2</v>
      </c>
    </row>
    <row r="240" spans="1:148" x14ac:dyDescent="0.2">
      <c r="A240">
        <v>239</v>
      </c>
      <c r="B240" t="s">
        <v>452</v>
      </c>
      <c r="C240" t="s">
        <v>453</v>
      </c>
      <c r="E240" t="s">
        <v>449</v>
      </c>
      <c r="F240" t="s">
        <v>450</v>
      </c>
      <c r="G240" t="s">
        <v>454</v>
      </c>
      <c r="H240">
        <v>0.11070857100000001</v>
      </c>
      <c r="I240">
        <v>2.4495421E-2</v>
      </c>
      <c r="J240">
        <f t="shared" si="6"/>
        <v>1.4137128611525742</v>
      </c>
      <c r="K240">
        <f t="shared" si="7"/>
        <v>0.81640018680733051</v>
      </c>
      <c r="L240">
        <v>28</v>
      </c>
      <c r="M240" t="s">
        <v>154</v>
      </c>
      <c r="N240">
        <v>0.2</v>
      </c>
      <c r="O240">
        <v>0.24</v>
      </c>
      <c r="P240">
        <v>0.28000000000000003</v>
      </c>
      <c r="Q240">
        <v>0.37</v>
      </c>
      <c r="R240">
        <v>0.37</v>
      </c>
      <c r="S240">
        <v>0.52</v>
      </c>
      <c r="T240">
        <v>0.03</v>
      </c>
      <c r="U240">
        <v>0.04</v>
      </c>
      <c r="V240">
        <v>7.0000000000000007E-2</v>
      </c>
      <c r="W240">
        <v>0.13983999999999999</v>
      </c>
      <c r="X240">
        <v>0.17</v>
      </c>
      <c r="Y240">
        <v>0.28999999999999998</v>
      </c>
      <c r="Z240">
        <v>0.38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61" x14ac:dyDescent="0.2">
      <c r="A241">
        <v>240</v>
      </c>
      <c r="B241" t="s">
        <v>455</v>
      </c>
      <c r="C241" t="s">
        <v>456</v>
      </c>
      <c r="E241" t="s">
        <v>449</v>
      </c>
      <c r="F241" t="s">
        <v>450</v>
      </c>
      <c r="G241" t="s">
        <v>457</v>
      </c>
      <c r="H241">
        <v>0.52694399999999997</v>
      </c>
      <c r="I241">
        <v>0.65081883699999998</v>
      </c>
      <c r="J241">
        <f t="shared" si="6"/>
        <v>1.5309661674647044</v>
      </c>
      <c r="K241">
        <f t="shared" si="7"/>
        <v>0.83722409516796936</v>
      </c>
      <c r="L241">
        <v>10</v>
      </c>
      <c r="M241" t="s">
        <v>154</v>
      </c>
      <c r="N241">
        <v>0.25076999999999999</v>
      </c>
      <c r="O241">
        <v>9.5519999999999994E-2</v>
      </c>
      <c r="P241">
        <v>0.31505</v>
      </c>
      <c r="Q241">
        <v>0.38089000000000001</v>
      </c>
      <c r="R241">
        <v>0.22120000000000001</v>
      </c>
      <c r="S241">
        <v>0.25850000000000001</v>
      </c>
      <c r="T241">
        <v>2.8117999999999999</v>
      </c>
      <c r="U241">
        <v>0.27295000000000003</v>
      </c>
      <c r="V241">
        <v>0.30285000000000001</v>
      </c>
      <c r="W241">
        <v>0.35991000000000001</v>
      </c>
    </row>
    <row r="242" spans="1:61" x14ac:dyDescent="0.2">
      <c r="A242">
        <v>241</v>
      </c>
      <c r="B242" t="s">
        <v>455</v>
      </c>
      <c r="C242" t="s">
        <v>456</v>
      </c>
      <c r="E242" t="s">
        <v>449</v>
      </c>
      <c r="F242" t="s">
        <v>450</v>
      </c>
      <c r="G242" t="s">
        <v>458</v>
      </c>
      <c r="H242">
        <v>0.57561399999999996</v>
      </c>
      <c r="I242">
        <v>0.45005940799999999</v>
      </c>
      <c r="J242">
        <f t="shared" si="6"/>
        <v>1.1654766421549778</v>
      </c>
      <c r="K242">
        <f t="shared" si="7"/>
        <v>0.75892830726479477</v>
      </c>
      <c r="L242">
        <v>10</v>
      </c>
      <c r="M242" t="s">
        <v>154</v>
      </c>
      <c r="N242">
        <v>7.2279999999999997E-2</v>
      </c>
      <c r="O242">
        <v>4.8849999999999998E-2</v>
      </c>
      <c r="P242">
        <v>0.1278</v>
      </c>
      <c r="Q242">
        <v>0.21479999999999999</v>
      </c>
      <c r="R242">
        <v>0.38140000000000002</v>
      </c>
      <c r="S242">
        <v>0.7147</v>
      </c>
      <c r="T242">
        <v>1.69</v>
      </c>
      <c r="U242">
        <v>6.5009999999999998E-2</v>
      </c>
      <c r="V242">
        <v>0.58930000000000005</v>
      </c>
      <c r="W242">
        <v>1.8520000000000001</v>
      </c>
    </row>
    <row r="243" spans="1:61" x14ac:dyDescent="0.2">
      <c r="A243">
        <v>242</v>
      </c>
      <c r="B243" t="s">
        <v>455</v>
      </c>
      <c r="C243" t="s">
        <v>456</v>
      </c>
      <c r="E243" t="s">
        <v>449</v>
      </c>
      <c r="F243" t="s">
        <v>450</v>
      </c>
      <c r="G243" t="s">
        <v>459</v>
      </c>
      <c r="H243">
        <v>3.1060000000000001E-2</v>
      </c>
      <c r="I243">
        <v>1.6806E-3</v>
      </c>
      <c r="J243">
        <f t="shared" si="6"/>
        <v>1.3198686948164091</v>
      </c>
      <c r="K243">
        <f t="shared" si="7"/>
        <v>0.79706323291118542</v>
      </c>
      <c r="L243">
        <v>10</v>
      </c>
      <c r="M243" t="s">
        <v>154</v>
      </c>
      <c r="N243">
        <v>1.41E-2</v>
      </c>
      <c r="O243">
        <v>0.02</v>
      </c>
      <c r="P243">
        <v>2.9100000000000001E-2</v>
      </c>
      <c r="Q243">
        <v>1.4999999999999999E-2</v>
      </c>
      <c r="R243">
        <v>1.0200000000000001E-2</v>
      </c>
      <c r="S243">
        <v>5.9999999999999995E-4</v>
      </c>
      <c r="T243">
        <v>0.126</v>
      </c>
      <c r="U243">
        <v>1.1999999999999999E-3</v>
      </c>
      <c r="V243">
        <v>1.0699999999999999E-2</v>
      </c>
      <c r="W243">
        <v>8.3699999999999997E-2</v>
      </c>
    </row>
    <row r="244" spans="1:61" x14ac:dyDescent="0.2">
      <c r="A244">
        <v>243</v>
      </c>
      <c r="B244" t="s">
        <v>455</v>
      </c>
      <c r="C244" t="s">
        <v>456</v>
      </c>
      <c r="E244" t="s">
        <v>449</v>
      </c>
      <c r="F244" t="s">
        <v>450</v>
      </c>
      <c r="G244" t="s">
        <v>460</v>
      </c>
      <c r="H244">
        <v>1.083715</v>
      </c>
      <c r="I244">
        <v>0.158124977</v>
      </c>
      <c r="J244">
        <f t="shared" si="6"/>
        <v>0.36693163248152733</v>
      </c>
      <c r="K244">
        <f t="shared" si="7"/>
        <v>0.34447390905172443</v>
      </c>
      <c r="L244">
        <v>10</v>
      </c>
      <c r="M244" t="s">
        <v>154</v>
      </c>
      <c r="N244">
        <v>1.5741000000000001</v>
      </c>
      <c r="O244">
        <v>1.1890000000000001</v>
      </c>
      <c r="P244">
        <v>0.75617999999999996</v>
      </c>
      <c r="Q244">
        <v>0.88554999999999995</v>
      </c>
      <c r="R244">
        <v>1.4537</v>
      </c>
      <c r="S244">
        <v>0.73521999999999998</v>
      </c>
      <c r="T244">
        <v>1.7690999999999999</v>
      </c>
      <c r="U244">
        <v>0.95306999999999997</v>
      </c>
      <c r="V244">
        <v>0.94911999999999996</v>
      </c>
      <c r="W244">
        <v>0.57211000000000001</v>
      </c>
    </row>
    <row r="245" spans="1:61" x14ac:dyDescent="0.2">
      <c r="A245">
        <v>244</v>
      </c>
      <c r="B245" t="s">
        <v>455</v>
      </c>
      <c r="C245" t="s">
        <v>456</v>
      </c>
      <c r="E245" t="s">
        <v>449</v>
      </c>
      <c r="F245" t="s">
        <v>450</v>
      </c>
      <c r="G245" t="s">
        <v>449</v>
      </c>
      <c r="H245">
        <v>2.388522</v>
      </c>
      <c r="I245">
        <v>2.7982023439999999</v>
      </c>
      <c r="J245">
        <f t="shared" si="6"/>
        <v>0.70034222601029894</v>
      </c>
      <c r="K245">
        <f t="shared" si="7"/>
        <v>0.57365046172230771</v>
      </c>
      <c r="L245">
        <v>10</v>
      </c>
      <c r="M245" t="s">
        <v>154</v>
      </c>
      <c r="N245">
        <v>1.9177599999999999</v>
      </c>
      <c r="O245">
        <v>1.4398500000000001</v>
      </c>
      <c r="P245">
        <v>1.2786999999999999</v>
      </c>
      <c r="Q245">
        <v>1.52763</v>
      </c>
      <c r="R245">
        <v>2.0820500000000002</v>
      </c>
      <c r="S245">
        <v>1.73214</v>
      </c>
      <c r="T245">
        <v>6.7962699999999998</v>
      </c>
      <c r="U245">
        <v>1.3763000000000001</v>
      </c>
      <c r="V245">
        <v>2.2956799999999999</v>
      </c>
      <c r="W245">
        <v>3.4388399999999999</v>
      </c>
    </row>
    <row r="246" spans="1:61" x14ac:dyDescent="0.2">
      <c r="A246">
        <v>245</v>
      </c>
      <c r="B246" t="s">
        <v>461</v>
      </c>
      <c r="C246" t="s">
        <v>462</v>
      </c>
      <c r="E246" t="s">
        <v>449</v>
      </c>
      <c r="F246" t="s">
        <v>450</v>
      </c>
      <c r="G246" t="s">
        <v>463</v>
      </c>
      <c r="H246">
        <v>0.85431550000000001</v>
      </c>
      <c r="I246">
        <v>1.443076214</v>
      </c>
      <c r="J246">
        <f t="shared" si="6"/>
        <v>1.4061328303451091</v>
      </c>
      <c r="K246">
        <f t="shared" si="7"/>
        <v>0.81493251773487785</v>
      </c>
      <c r="L246">
        <v>10</v>
      </c>
      <c r="M246" t="s">
        <v>154</v>
      </c>
      <c r="N246">
        <v>9.8357E-2</v>
      </c>
      <c r="O246">
        <v>0.13250200000000001</v>
      </c>
      <c r="P246">
        <v>0.191862</v>
      </c>
      <c r="Q246">
        <v>0.28222199999999997</v>
      </c>
      <c r="R246">
        <v>0.48966599999999999</v>
      </c>
      <c r="S246">
        <v>0.74821800000000005</v>
      </c>
      <c r="T246">
        <v>3.9569329999999998</v>
      </c>
      <c r="U246">
        <v>0.19681899999999999</v>
      </c>
      <c r="V246">
        <v>0.65144100000000005</v>
      </c>
      <c r="W246">
        <v>1.7951349999999999</v>
      </c>
    </row>
    <row r="247" spans="1:61" x14ac:dyDescent="0.2">
      <c r="A247">
        <v>246</v>
      </c>
      <c r="B247" t="s">
        <v>461</v>
      </c>
      <c r="C247" t="s">
        <v>462</v>
      </c>
      <c r="E247" t="s">
        <v>449</v>
      </c>
      <c r="F247" t="s">
        <v>450</v>
      </c>
      <c r="G247" t="s">
        <v>464</v>
      </c>
      <c r="H247">
        <v>1.2244644</v>
      </c>
      <c r="I247">
        <v>0.25535976900000001</v>
      </c>
      <c r="J247">
        <f t="shared" si="6"/>
        <v>0.41269582500925928</v>
      </c>
      <c r="K247">
        <f t="shared" si="7"/>
        <v>0.38148561122789931</v>
      </c>
      <c r="L247">
        <v>10</v>
      </c>
      <c r="M247" t="s">
        <v>154</v>
      </c>
      <c r="N247">
        <v>1.7509399999999999</v>
      </c>
      <c r="O247">
        <v>1.2231669999999999</v>
      </c>
      <c r="P247">
        <v>0.95068799999999998</v>
      </c>
      <c r="Q247">
        <v>1.210062</v>
      </c>
      <c r="R247">
        <v>1.5359590000000001</v>
      </c>
      <c r="S247">
        <v>0.88979600000000003</v>
      </c>
      <c r="T247">
        <v>2.308065</v>
      </c>
      <c r="U247">
        <v>0.785381</v>
      </c>
      <c r="V247">
        <v>0.76785000000000003</v>
      </c>
      <c r="W247">
        <v>0.82273600000000002</v>
      </c>
    </row>
    <row r="248" spans="1:61" x14ac:dyDescent="0.2">
      <c r="A248">
        <v>247</v>
      </c>
      <c r="B248" t="s">
        <v>461</v>
      </c>
      <c r="C248" t="s">
        <v>462</v>
      </c>
      <c r="E248" t="s">
        <v>449</v>
      </c>
      <c r="F248" t="s">
        <v>450</v>
      </c>
      <c r="G248" t="s">
        <v>465</v>
      </c>
      <c r="H248">
        <v>0.33882309999999999</v>
      </c>
      <c r="I248">
        <v>0.10435524</v>
      </c>
      <c r="J248">
        <f t="shared" si="6"/>
        <v>0.95341969494203138</v>
      </c>
      <c r="K248">
        <f t="shared" si="7"/>
        <v>0.69004929735337661</v>
      </c>
      <c r="L248">
        <v>10</v>
      </c>
      <c r="M248" t="s">
        <v>154</v>
      </c>
      <c r="N248">
        <v>8.3747000000000002E-2</v>
      </c>
      <c r="O248">
        <v>8.7923000000000001E-2</v>
      </c>
      <c r="P248">
        <v>0.151031</v>
      </c>
      <c r="Q248">
        <v>9.9859000000000003E-2</v>
      </c>
      <c r="R248">
        <v>0.12667700000000001</v>
      </c>
      <c r="S248">
        <v>0.10659299999999999</v>
      </c>
      <c r="T248">
        <v>0.62764500000000001</v>
      </c>
      <c r="U248">
        <v>0.39655899999999999</v>
      </c>
      <c r="V248">
        <v>0.88655600000000001</v>
      </c>
      <c r="W248">
        <v>0.82164099999999995</v>
      </c>
    </row>
    <row r="249" spans="1:61" x14ac:dyDescent="0.2">
      <c r="A249">
        <v>248</v>
      </c>
      <c r="B249" t="s">
        <v>461</v>
      </c>
      <c r="C249" t="s">
        <v>462</v>
      </c>
      <c r="E249" t="s">
        <v>449</v>
      </c>
      <c r="F249" t="s">
        <v>450</v>
      </c>
      <c r="G249" t="s">
        <v>449</v>
      </c>
      <c r="H249">
        <v>2.4176030000000002</v>
      </c>
      <c r="I249">
        <v>2.8681755579999999</v>
      </c>
      <c r="J249">
        <f t="shared" si="6"/>
        <v>0.70051570997254564</v>
      </c>
      <c r="K249">
        <f t="shared" si="7"/>
        <v>0.57374578903161433</v>
      </c>
      <c r="L249">
        <v>10</v>
      </c>
      <c r="M249" t="s">
        <v>154</v>
      </c>
      <c r="N249">
        <v>1.933044</v>
      </c>
      <c r="O249">
        <v>1.443592</v>
      </c>
      <c r="P249">
        <v>1.2935810000000001</v>
      </c>
      <c r="Q249">
        <v>1.5921430000000001</v>
      </c>
      <c r="R249">
        <v>2.1523020000000002</v>
      </c>
      <c r="S249">
        <v>1.744607</v>
      </c>
      <c r="T249">
        <v>6.8926429999999996</v>
      </c>
      <c r="U249">
        <v>1.3787590000000001</v>
      </c>
      <c r="V249">
        <v>2.305847</v>
      </c>
      <c r="W249">
        <v>3.4395120000000001</v>
      </c>
    </row>
    <row r="250" spans="1:61" x14ac:dyDescent="0.2">
      <c r="A250">
        <v>249</v>
      </c>
      <c r="B250" t="s">
        <v>466</v>
      </c>
      <c r="C250" t="s">
        <v>467</v>
      </c>
      <c r="D250" t="s">
        <v>468</v>
      </c>
      <c r="E250" t="s">
        <v>449</v>
      </c>
      <c r="F250" t="s">
        <v>450</v>
      </c>
      <c r="G250" t="s">
        <v>469</v>
      </c>
      <c r="H250">
        <v>0.39141953699999998</v>
      </c>
      <c r="I250">
        <v>0.57020538499999995</v>
      </c>
      <c r="J250">
        <f t="shared" si="6"/>
        <v>1.9291818098889753</v>
      </c>
      <c r="K250">
        <f t="shared" si="7"/>
        <v>0.88781404423336852</v>
      </c>
      <c r="L250">
        <v>20</v>
      </c>
      <c r="M250" t="s">
        <v>154</v>
      </c>
      <c r="AL250">
        <v>1.730748E-2</v>
      </c>
      <c r="AN250">
        <v>2.16344E-3</v>
      </c>
      <c r="AP250">
        <v>6.49031E-3</v>
      </c>
      <c r="AQ250">
        <v>8.6537409999999995E-2</v>
      </c>
      <c r="AR250">
        <v>0.41105270999999999</v>
      </c>
      <c r="AS250">
        <v>0.5451857</v>
      </c>
      <c r="AT250">
        <v>0.91080627000000003</v>
      </c>
      <c r="AU250">
        <v>6.2739619999999996E-2</v>
      </c>
      <c r="AV250">
        <v>0.37427431</v>
      </c>
      <c r="AW250">
        <v>1.69829673</v>
      </c>
      <c r="AX250">
        <v>3.0547706799999998</v>
      </c>
      <c r="AY250">
        <v>0.46946547</v>
      </c>
      <c r="AZ250">
        <v>9.8436309999999999E-2</v>
      </c>
      <c r="BA250">
        <v>6.5984780000000007E-2</v>
      </c>
      <c r="BB250">
        <v>9.7354599999999996E-3</v>
      </c>
      <c r="BC250">
        <v>1.08172E-3</v>
      </c>
      <c r="BD250">
        <v>2.16344E-3</v>
      </c>
      <c r="BE250">
        <v>9.7354599999999996E-3</v>
      </c>
      <c r="BF250">
        <v>1.08172E-3</v>
      </c>
      <c r="BI250">
        <v>1.08172E-3</v>
      </c>
    </row>
    <row r="251" spans="1:61" x14ac:dyDescent="0.2">
      <c r="A251">
        <v>250</v>
      </c>
      <c r="B251" t="s">
        <v>466</v>
      </c>
      <c r="C251" t="s">
        <v>467</v>
      </c>
      <c r="D251" t="s">
        <v>468</v>
      </c>
      <c r="E251" t="s">
        <v>449</v>
      </c>
      <c r="F251" t="s">
        <v>450</v>
      </c>
      <c r="G251" t="s">
        <v>470</v>
      </c>
      <c r="H251">
        <v>1.798989E-3</v>
      </c>
      <c r="I251" s="1">
        <v>3.3629E-6</v>
      </c>
      <c r="J251">
        <f t="shared" si="6"/>
        <v>1.019362067929475</v>
      </c>
      <c r="K251">
        <f t="shared" si="7"/>
        <v>0.71385385673612378</v>
      </c>
      <c r="L251">
        <v>23</v>
      </c>
      <c r="M251" t="s">
        <v>154</v>
      </c>
      <c r="AC251">
        <v>2.64072E-3</v>
      </c>
      <c r="AE251">
        <v>2.2858700000000002E-3</v>
      </c>
      <c r="AF251">
        <v>6.6018000000000001E-4</v>
      </c>
      <c r="AH251">
        <v>3.6309900000000002E-3</v>
      </c>
      <c r="AI251">
        <v>4.2911700000000004E-3</v>
      </c>
      <c r="AJ251">
        <v>2.3106300000000001E-3</v>
      </c>
      <c r="AK251">
        <v>4.9512999999999998E-4</v>
      </c>
      <c r="AM251">
        <v>3.3009000000000001E-4</v>
      </c>
      <c r="AN251">
        <v>5.61153E-3</v>
      </c>
      <c r="AO251">
        <v>8.2521999999999999E-4</v>
      </c>
      <c r="AP251">
        <v>6.9318899999999996E-3</v>
      </c>
      <c r="AR251">
        <v>2.3106300000000001E-3</v>
      </c>
      <c r="AT251">
        <v>2.2858700000000002E-3</v>
      </c>
      <c r="AU251">
        <v>6.6018000000000001E-4</v>
      </c>
      <c r="AV251">
        <v>3.3009000000000001E-4</v>
      </c>
      <c r="AX251">
        <v>1.6504499999999999E-3</v>
      </c>
      <c r="AY251">
        <v>6.6018000000000001E-4</v>
      </c>
      <c r="AZ251">
        <v>6.6018000000000001E-4</v>
      </c>
      <c r="BA251">
        <v>1.8154899999999999E-3</v>
      </c>
      <c r="BD251">
        <v>3.3009000000000001E-4</v>
      </c>
      <c r="BE251">
        <v>3.3009000000000001E-4</v>
      </c>
      <c r="BF251">
        <v>1.6504000000000001E-4</v>
      </c>
      <c r="BI251">
        <v>1.6504000000000001E-4</v>
      </c>
    </row>
    <row r="252" spans="1:61" x14ac:dyDescent="0.2">
      <c r="A252">
        <v>251</v>
      </c>
      <c r="B252" t="s">
        <v>466</v>
      </c>
      <c r="C252" t="s">
        <v>467</v>
      </c>
      <c r="D252" t="s">
        <v>468</v>
      </c>
      <c r="E252" t="s">
        <v>449</v>
      </c>
      <c r="F252" t="s">
        <v>450</v>
      </c>
      <c r="G252" t="s">
        <v>471</v>
      </c>
      <c r="H252">
        <v>3.6691331000000001E-2</v>
      </c>
      <c r="I252">
        <v>1.1466810000000001E-3</v>
      </c>
      <c r="J252">
        <f t="shared" si="6"/>
        <v>0.92290679155132671</v>
      </c>
      <c r="K252">
        <f t="shared" si="7"/>
        <v>0.67821259499039599</v>
      </c>
      <c r="L252">
        <v>10</v>
      </c>
      <c r="M252" t="s">
        <v>154</v>
      </c>
      <c r="AP252">
        <v>1.3104050000000001E-2</v>
      </c>
      <c r="AQ252">
        <v>3.9312140000000002E-2</v>
      </c>
      <c r="AR252">
        <v>5.241618E-2</v>
      </c>
      <c r="AS252">
        <v>1.3104050000000001E-2</v>
      </c>
      <c r="AT252">
        <v>3.9312140000000002E-2</v>
      </c>
      <c r="AU252">
        <v>1.3104050000000001E-2</v>
      </c>
      <c r="AX252">
        <v>1.3104050000000001E-2</v>
      </c>
      <c r="AY252">
        <v>3.2760119999999997E-2</v>
      </c>
      <c r="AZ252">
        <v>0.12448844000000001</v>
      </c>
      <c r="BA252">
        <v>2.620809E-2</v>
      </c>
    </row>
    <row r="253" spans="1:61" x14ac:dyDescent="0.2">
      <c r="A253">
        <v>252</v>
      </c>
      <c r="B253" t="s">
        <v>466</v>
      </c>
      <c r="C253" t="s">
        <v>467</v>
      </c>
      <c r="D253" t="s">
        <v>468</v>
      </c>
      <c r="E253" t="s">
        <v>449</v>
      </c>
      <c r="F253" t="s">
        <v>450</v>
      </c>
      <c r="G253" t="s">
        <v>472</v>
      </c>
      <c r="H253">
        <v>1.27961E-3</v>
      </c>
      <c r="I253" s="1">
        <v>2.0274899999999998E-6</v>
      </c>
      <c r="J253">
        <f t="shared" si="6"/>
        <v>1.1127605872965578</v>
      </c>
      <c r="K253">
        <f t="shared" si="7"/>
        <v>0.74378734452638418</v>
      </c>
      <c r="L253">
        <v>24</v>
      </c>
      <c r="M253" t="s">
        <v>154</v>
      </c>
      <c r="V253">
        <v>1.2535000000000001E-3</v>
      </c>
      <c r="W253">
        <v>2.6860600000000001E-3</v>
      </c>
      <c r="X253">
        <v>1.34303E-3</v>
      </c>
      <c r="Y253">
        <v>1.43257E-3</v>
      </c>
      <c r="Z253">
        <v>1.88024E-3</v>
      </c>
      <c r="AA253">
        <v>5.3720999999999999E-4</v>
      </c>
      <c r="AB253">
        <v>2.1488499999999999E-3</v>
      </c>
      <c r="AC253">
        <v>3.76049E-3</v>
      </c>
      <c r="AD253">
        <v>1.7907E-4</v>
      </c>
      <c r="AE253">
        <v>6.4465499999999997E-3</v>
      </c>
      <c r="AF253">
        <v>1.88024E-3</v>
      </c>
      <c r="AH253">
        <v>5.3720999999999999E-4</v>
      </c>
      <c r="AI253">
        <v>8.9535000000000005E-4</v>
      </c>
      <c r="AJ253">
        <v>1.07442E-3</v>
      </c>
      <c r="AK253">
        <v>2.6861000000000002E-4</v>
      </c>
      <c r="AM253">
        <v>4.4768E-4</v>
      </c>
      <c r="AO253">
        <v>6.2675000000000003E-4</v>
      </c>
      <c r="AP253">
        <v>1.2535000000000001E-3</v>
      </c>
      <c r="AQ253">
        <v>8.9535000000000005E-4</v>
      </c>
      <c r="AR253">
        <v>1.7907E-4</v>
      </c>
      <c r="AS253">
        <v>1.7907E-4</v>
      </c>
      <c r="AT253">
        <v>3.5814000000000001E-4</v>
      </c>
      <c r="AW253">
        <v>1.7907E-4</v>
      </c>
      <c r="BC253">
        <v>2.6861000000000002E-4</v>
      </c>
    </row>
    <row r="254" spans="1:61" x14ac:dyDescent="0.2">
      <c r="A254">
        <v>253</v>
      </c>
      <c r="B254" t="s">
        <v>466</v>
      </c>
      <c r="C254" t="s">
        <v>467</v>
      </c>
      <c r="D254" t="s">
        <v>468</v>
      </c>
      <c r="E254" t="s">
        <v>449</v>
      </c>
      <c r="F254" t="s">
        <v>450</v>
      </c>
      <c r="G254" t="s">
        <v>473</v>
      </c>
      <c r="H254">
        <v>4.0773110000000001E-3</v>
      </c>
      <c r="I254" s="1">
        <v>1.44204E-5</v>
      </c>
      <c r="J254">
        <f t="shared" si="6"/>
        <v>0.93135406568436441</v>
      </c>
      <c r="K254">
        <f t="shared" si="7"/>
        <v>0.6815437913366128</v>
      </c>
      <c r="L254">
        <v>16</v>
      </c>
      <c r="M254" t="s">
        <v>154</v>
      </c>
      <c r="AE254">
        <v>3.1822899999999999E-3</v>
      </c>
      <c r="AF254">
        <v>1.1933590000000001E-2</v>
      </c>
      <c r="AG254">
        <v>7.9557E-4</v>
      </c>
      <c r="AH254">
        <v>9.5468700000000007E-3</v>
      </c>
      <c r="AI254">
        <v>1.113802E-2</v>
      </c>
      <c r="AJ254">
        <v>3.1822899999999999E-3</v>
      </c>
      <c r="AR254">
        <v>1.5911499999999999E-3</v>
      </c>
      <c r="AS254">
        <v>1.5911499999999999E-3</v>
      </c>
      <c r="AT254">
        <v>1.5911499999999999E-3</v>
      </c>
      <c r="AV254">
        <v>1.5911499999999999E-3</v>
      </c>
      <c r="AW254">
        <v>3.9778599999999997E-3</v>
      </c>
      <c r="AX254">
        <v>4.7734400000000003E-3</v>
      </c>
      <c r="AY254">
        <v>7.1601499999999997E-3</v>
      </c>
      <c r="BA254">
        <v>7.9557E-4</v>
      </c>
      <c r="BB254">
        <v>1.5911499999999999E-3</v>
      </c>
      <c r="BE254">
        <v>7.9557E-4</v>
      </c>
    </row>
    <row r="255" spans="1:61" x14ac:dyDescent="0.2">
      <c r="A255">
        <v>254</v>
      </c>
      <c r="B255" t="s">
        <v>466</v>
      </c>
      <c r="C255" t="s">
        <v>467</v>
      </c>
      <c r="D255" t="s">
        <v>468</v>
      </c>
      <c r="E255" t="s">
        <v>449</v>
      </c>
      <c r="F255" t="s">
        <v>450</v>
      </c>
      <c r="G255" t="s">
        <v>474</v>
      </c>
      <c r="H255">
        <v>1.1182246999999999E-2</v>
      </c>
      <c r="I255">
        <v>6.1908899999999997E-4</v>
      </c>
      <c r="J255">
        <f t="shared" si="6"/>
        <v>2.2250893895453756</v>
      </c>
      <c r="K255">
        <f t="shared" si="7"/>
        <v>0.91211932252198269</v>
      </c>
      <c r="L255">
        <v>22</v>
      </c>
      <c r="M255" t="s">
        <v>154</v>
      </c>
      <c r="AC255">
        <v>1.046849E-2</v>
      </c>
      <c r="AD255">
        <v>5.2342000000000003E-4</v>
      </c>
      <c r="AE255">
        <v>1.04685E-3</v>
      </c>
      <c r="AF255">
        <v>5.7576700000000003E-3</v>
      </c>
      <c r="AG255">
        <v>5.2342400000000002E-3</v>
      </c>
      <c r="AH255">
        <v>2.512437E-2</v>
      </c>
      <c r="AI255">
        <v>8.37479E-3</v>
      </c>
      <c r="AJ255">
        <v>2.4077520000000002E-2</v>
      </c>
      <c r="AK255">
        <v>6.8045199999999997E-3</v>
      </c>
      <c r="AL255">
        <v>2.0937E-3</v>
      </c>
      <c r="AM255">
        <v>1.2562179999999999E-2</v>
      </c>
      <c r="AN255">
        <v>0.11829389999999999</v>
      </c>
      <c r="AO255">
        <v>3.6639699999999999E-3</v>
      </c>
      <c r="AR255">
        <v>1.04685E-3</v>
      </c>
      <c r="AS255">
        <v>6.2810899999999996E-3</v>
      </c>
      <c r="AT255">
        <v>4.18739E-3</v>
      </c>
      <c r="AU255">
        <v>5.2342000000000003E-4</v>
      </c>
      <c r="AV255">
        <v>3.1405500000000002E-3</v>
      </c>
      <c r="AW255">
        <v>1.04685E-3</v>
      </c>
      <c r="AX255">
        <v>2.0937E-3</v>
      </c>
      <c r="AY255">
        <v>3.1405500000000002E-3</v>
      </c>
      <c r="BA255">
        <v>5.2342000000000003E-4</v>
      </c>
    </row>
    <row r="256" spans="1:61" x14ac:dyDescent="0.2">
      <c r="A256">
        <v>255</v>
      </c>
      <c r="B256" t="s">
        <v>466</v>
      </c>
      <c r="C256" t="s">
        <v>467</v>
      </c>
      <c r="D256" t="s">
        <v>468</v>
      </c>
      <c r="E256" t="s">
        <v>449</v>
      </c>
      <c r="F256" t="s">
        <v>450</v>
      </c>
      <c r="G256" t="s">
        <v>475</v>
      </c>
      <c r="H256">
        <v>2.7782919999999999E-3</v>
      </c>
      <c r="I256" s="1">
        <v>3.3817199999999999E-6</v>
      </c>
      <c r="J256">
        <f t="shared" si="6"/>
        <v>0.66189779545205074</v>
      </c>
      <c r="K256">
        <f t="shared" si="7"/>
        <v>0.55194407935279666</v>
      </c>
      <c r="L256">
        <v>12</v>
      </c>
      <c r="M256" t="s">
        <v>154</v>
      </c>
      <c r="AT256">
        <v>2.66716E-3</v>
      </c>
      <c r="AV256">
        <v>5.33432E-3</v>
      </c>
      <c r="AW256">
        <v>1.33358E-3</v>
      </c>
      <c r="AZ256">
        <v>2.66716E-3</v>
      </c>
      <c r="BA256">
        <v>6.6679E-3</v>
      </c>
      <c r="BB256">
        <v>4.00074E-3</v>
      </c>
      <c r="BC256">
        <v>4.00074E-3</v>
      </c>
      <c r="BD256">
        <v>1.33358E-3</v>
      </c>
      <c r="BE256">
        <v>1.33358E-3</v>
      </c>
      <c r="BF256">
        <v>1.33358E-3</v>
      </c>
      <c r="BG256">
        <v>1.33358E-3</v>
      </c>
      <c r="BH256">
        <v>1.33358E-3</v>
      </c>
    </row>
    <row r="257" spans="1:62" x14ac:dyDescent="0.2">
      <c r="A257">
        <v>256</v>
      </c>
      <c r="B257" t="s">
        <v>466</v>
      </c>
      <c r="C257" t="s">
        <v>467</v>
      </c>
      <c r="D257" t="s">
        <v>468</v>
      </c>
      <c r="E257" t="s">
        <v>449</v>
      </c>
      <c r="F257" t="s">
        <v>450</v>
      </c>
      <c r="G257" t="s">
        <v>476</v>
      </c>
      <c r="H257">
        <v>2.0392819999999999E-3</v>
      </c>
      <c r="I257" s="1">
        <v>2.8104299999999998E-6</v>
      </c>
      <c r="J257">
        <f t="shared" si="6"/>
        <v>0.8220705693301702</v>
      </c>
      <c r="K257">
        <f t="shared" si="7"/>
        <v>0.6350355009170493</v>
      </c>
      <c r="L257">
        <v>13</v>
      </c>
      <c r="M257" t="s">
        <v>154</v>
      </c>
      <c r="AI257">
        <v>7.1650500000000001E-3</v>
      </c>
      <c r="AJ257">
        <v>1.43301E-3</v>
      </c>
      <c r="AS257">
        <v>1.43301E-3</v>
      </c>
      <c r="AT257">
        <v>2.8660199999999999E-3</v>
      </c>
      <c r="AU257">
        <v>1.43301E-3</v>
      </c>
      <c r="AV257">
        <v>1.43301E-3</v>
      </c>
      <c r="AW257">
        <v>2.8660199999999999E-3</v>
      </c>
      <c r="AX257">
        <v>2.1495099999999999E-3</v>
      </c>
      <c r="AY257">
        <v>1.43301E-3</v>
      </c>
      <c r="BB257">
        <v>1.43301E-3</v>
      </c>
      <c r="BC257">
        <v>7.1650000000000001E-4</v>
      </c>
      <c r="BE257">
        <v>1.43301E-3</v>
      </c>
      <c r="BG257">
        <v>7.1650000000000001E-4</v>
      </c>
    </row>
    <row r="258" spans="1:62" x14ac:dyDescent="0.2">
      <c r="A258">
        <v>257</v>
      </c>
      <c r="B258" t="s">
        <v>466</v>
      </c>
      <c r="C258" t="s">
        <v>467</v>
      </c>
      <c r="D258" t="s">
        <v>468</v>
      </c>
      <c r="E258" t="s">
        <v>449</v>
      </c>
      <c r="F258" t="s">
        <v>450</v>
      </c>
      <c r="G258" t="s">
        <v>477</v>
      </c>
      <c r="H258">
        <v>8.2202089999999992E-3</v>
      </c>
      <c r="I258">
        <v>1.15769E-4</v>
      </c>
      <c r="J258">
        <f t="shared" si="6"/>
        <v>1.3089205352717681</v>
      </c>
      <c r="K258">
        <f t="shared" si="7"/>
        <v>0.79463289123660941</v>
      </c>
      <c r="L258">
        <v>37</v>
      </c>
      <c r="M258" t="s">
        <v>154</v>
      </c>
      <c r="O258">
        <v>1.0257899999999999E-3</v>
      </c>
      <c r="P258">
        <v>5.1290000000000005E-4</v>
      </c>
      <c r="Z258">
        <v>1.0257899999999999E-3</v>
      </c>
      <c r="AA258">
        <v>3.7954359999999999E-2</v>
      </c>
      <c r="AB258">
        <v>7.18055E-3</v>
      </c>
      <c r="AC258">
        <v>3.0773799999999998E-3</v>
      </c>
      <c r="AD258">
        <v>3.4364079999999998E-2</v>
      </c>
      <c r="AE258">
        <v>2.6670630000000001E-2</v>
      </c>
      <c r="AF258">
        <v>6.6676599999999997E-3</v>
      </c>
      <c r="AH258">
        <v>1.128373E-2</v>
      </c>
      <c r="AI258">
        <v>6.1547599999999996E-3</v>
      </c>
      <c r="AJ258">
        <v>4.1031699999999997E-3</v>
      </c>
      <c r="AK258">
        <v>1.0257899999999999E-3</v>
      </c>
      <c r="AL258">
        <v>1.128373E-2</v>
      </c>
      <c r="AM258">
        <v>2.5644800000000001E-3</v>
      </c>
      <c r="AN258">
        <v>5.1289700000000001E-3</v>
      </c>
      <c r="AO258">
        <v>3.5902799999999999E-3</v>
      </c>
      <c r="AP258">
        <v>2.1541660000000001E-2</v>
      </c>
      <c r="AQ258">
        <v>1.436111E-2</v>
      </c>
      <c r="AR258">
        <v>4.0005949999999998E-2</v>
      </c>
      <c r="AS258">
        <v>5.1289700000000001E-3</v>
      </c>
      <c r="AT258">
        <v>1.846428E-2</v>
      </c>
      <c r="AU258">
        <v>1.0257899999999999E-3</v>
      </c>
      <c r="AV258">
        <v>1.0257899999999999E-3</v>
      </c>
      <c r="AW258">
        <v>2.5644800000000001E-3</v>
      </c>
      <c r="AX258">
        <v>9.2321399999999998E-3</v>
      </c>
      <c r="AY258">
        <v>5.6418600000000003E-3</v>
      </c>
      <c r="AZ258">
        <v>2.0515899999999998E-3</v>
      </c>
      <c r="BA258">
        <v>9.2321399999999998E-3</v>
      </c>
      <c r="BB258">
        <v>1.0257899999999999E-3</v>
      </c>
      <c r="BC258">
        <v>5.1290000000000005E-4</v>
      </c>
      <c r="BD258">
        <v>2.5644800000000001E-3</v>
      </c>
      <c r="BE258">
        <v>5.1290000000000005E-4</v>
      </c>
      <c r="BF258">
        <v>2.5644800000000001E-3</v>
      </c>
      <c r="BH258">
        <v>1.0257899999999999E-3</v>
      </c>
      <c r="BI258">
        <v>1.0257899999999999E-3</v>
      </c>
      <c r="BJ258">
        <v>1.0257899999999999E-3</v>
      </c>
    </row>
    <row r="259" spans="1:62" x14ac:dyDescent="0.2">
      <c r="A259">
        <v>258</v>
      </c>
      <c r="B259" t="s">
        <v>466</v>
      </c>
      <c r="C259" t="s">
        <v>467</v>
      </c>
      <c r="D259" t="s">
        <v>468</v>
      </c>
      <c r="E259" t="s">
        <v>449</v>
      </c>
      <c r="F259" t="s">
        <v>450</v>
      </c>
      <c r="G259" t="s">
        <v>478</v>
      </c>
      <c r="H259">
        <v>4.464211E-3</v>
      </c>
      <c r="I259" s="1">
        <v>1.04337E-5</v>
      </c>
      <c r="J259">
        <f t="shared" ref="J259:J321" si="8">SQRT(I259)/H259</f>
        <v>0.72355984890395408</v>
      </c>
      <c r="K259">
        <f t="shared" ref="K259:K321" si="9">SQRT(J259^2/(1+J259^2))</f>
        <v>0.58620253491304741</v>
      </c>
      <c r="L259">
        <v>26</v>
      </c>
      <c r="M259" t="s">
        <v>154</v>
      </c>
      <c r="N259">
        <v>2.76356E-3</v>
      </c>
      <c r="P259">
        <v>1.38178E-3</v>
      </c>
      <c r="Q259">
        <v>1.38178E-3</v>
      </c>
      <c r="R259">
        <v>2.76356E-3</v>
      </c>
      <c r="U259">
        <v>1.38178E-3</v>
      </c>
      <c r="V259">
        <v>1.38178E-3</v>
      </c>
      <c r="W259">
        <v>1.38178E-3</v>
      </c>
      <c r="AA259">
        <v>5.5271199999999999E-3</v>
      </c>
      <c r="AC259">
        <v>8.2906799999999999E-3</v>
      </c>
      <c r="AD259">
        <v>8.2906799999999999E-3</v>
      </c>
      <c r="AE259">
        <v>1.105423E-2</v>
      </c>
      <c r="AG259">
        <v>6.9088999999999999E-3</v>
      </c>
      <c r="AH259">
        <v>5.5271199999999999E-3</v>
      </c>
      <c r="AM259">
        <v>6.9088999999999999E-3</v>
      </c>
      <c r="AN259">
        <v>1.105423E-2</v>
      </c>
      <c r="AO259">
        <v>2.76356E-3</v>
      </c>
      <c r="AP259">
        <v>1.105423E-2</v>
      </c>
      <c r="AQ259">
        <v>2.76356E-3</v>
      </c>
      <c r="AS259">
        <v>5.5271199999999999E-3</v>
      </c>
      <c r="AT259">
        <v>2.76356E-3</v>
      </c>
      <c r="AV259">
        <v>2.76356E-3</v>
      </c>
      <c r="AX259">
        <v>2.76356E-3</v>
      </c>
      <c r="AY259">
        <v>2.76356E-3</v>
      </c>
      <c r="AZ259">
        <v>1.38178E-3</v>
      </c>
      <c r="BG259">
        <v>2.76356E-3</v>
      </c>
      <c r="BI259">
        <v>2.76356E-3</v>
      </c>
    </row>
    <row r="260" spans="1:62" x14ac:dyDescent="0.2">
      <c r="A260">
        <v>259</v>
      </c>
      <c r="B260" t="s">
        <v>466</v>
      </c>
      <c r="C260" t="s">
        <v>467</v>
      </c>
      <c r="D260" t="s">
        <v>468</v>
      </c>
      <c r="E260" t="s">
        <v>449</v>
      </c>
      <c r="F260" t="s">
        <v>450</v>
      </c>
      <c r="G260" t="s">
        <v>479</v>
      </c>
      <c r="H260">
        <v>1.94221E-3</v>
      </c>
      <c r="I260" s="1">
        <v>8.5042099999999997E-6</v>
      </c>
      <c r="J260">
        <f t="shared" si="8"/>
        <v>1.5014843230580242</v>
      </c>
      <c r="K260">
        <f t="shared" si="9"/>
        <v>0.83230337399704224</v>
      </c>
      <c r="L260">
        <v>25</v>
      </c>
      <c r="M260" t="s">
        <v>154</v>
      </c>
      <c r="T260">
        <v>2.8730999999999999E-4</v>
      </c>
      <c r="AA260">
        <v>1.7238500000000001E-3</v>
      </c>
      <c r="AC260">
        <v>2.2984699999999999E-3</v>
      </c>
      <c r="AE260">
        <v>1.7238500000000001E-3</v>
      </c>
      <c r="AG260">
        <v>2.87309E-3</v>
      </c>
      <c r="AI260">
        <v>1.1492399999999999E-3</v>
      </c>
      <c r="AJ260">
        <v>5.7461999999999997E-4</v>
      </c>
      <c r="AK260">
        <v>2.8730999999999999E-4</v>
      </c>
      <c r="AM260">
        <v>5.7461999999999997E-4</v>
      </c>
      <c r="AN260">
        <v>2.2984699999999999E-3</v>
      </c>
      <c r="AO260">
        <v>5.7461999999999997E-4</v>
      </c>
      <c r="AP260">
        <v>5.7461999999999997E-4</v>
      </c>
      <c r="AQ260">
        <v>1.494007E-2</v>
      </c>
      <c r="AR260">
        <v>3.4477100000000001E-3</v>
      </c>
      <c r="AT260">
        <v>5.7461999999999997E-4</v>
      </c>
      <c r="AU260">
        <v>2.2984699999999999E-3</v>
      </c>
      <c r="AV260">
        <v>4.5969499999999998E-3</v>
      </c>
      <c r="AW260">
        <v>1.1492399999999999E-3</v>
      </c>
      <c r="AZ260">
        <v>1.43655E-3</v>
      </c>
      <c r="BB260">
        <v>1.43655E-3</v>
      </c>
      <c r="BC260">
        <v>8.6193000000000001E-4</v>
      </c>
      <c r="BD260">
        <v>1.43655E-3</v>
      </c>
      <c r="BH260">
        <v>2.8730999999999999E-4</v>
      </c>
      <c r="BI260">
        <v>5.7461999999999997E-4</v>
      </c>
      <c r="BJ260">
        <v>5.7461999999999997E-4</v>
      </c>
    </row>
    <row r="261" spans="1:62" x14ac:dyDescent="0.2">
      <c r="A261">
        <v>260</v>
      </c>
      <c r="B261" t="s">
        <v>466</v>
      </c>
      <c r="C261" t="s">
        <v>467</v>
      </c>
      <c r="D261" t="s">
        <v>468</v>
      </c>
      <c r="E261" t="s">
        <v>449</v>
      </c>
      <c r="F261" t="s">
        <v>450</v>
      </c>
      <c r="G261" t="s">
        <v>480</v>
      </c>
      <c r="H261">
        <v>0.37491496099999999</v>
      </c>
      <c r="I261">
        <v>0.88460952000000004</v>
      </c>
      <c r="J261">
        <f t="shared" si="8"/>
        <v>2.5086670932701103</v>
      </c>
      <c r="K261">
        <f t="shared" si="9"/>
        <v>0.92891869122783433</v>
      </c>
      <c r="L261">
        <v>16</v>
      </c>
      <c r="M261" t="s">
        <v>154</v>
      </c>
      <c r="AL261">
        <v>0.21204426000000001</v>
      </c>
      <c r="AN261">
        <v>2.4546999999999999E-2</v>
      </c>
      <c r="AO261">
        <v>5.8756099999999999E-3</v>
      </c>
      <c r="AP261">
        <v>4.2043259999999999E-2</v>
      </c>
      <c r="AQ261">
        <v>3.1558687999999999</v>
      </c>
      <c r="AR261">
        <v>2.3422991099999999</v>
      </c>
      <c r="AS261">
        <v>0.15381043</v>
      </c>
      <c r="AT261">
        <v>7.8341000000000001E-4</v>
      </c>
      <c r="AU261">
        <v>6.0061799999999999E-3</v>
      </c>
      <c r="AV261">
        <v>1.30569E-3</v>
      </c>
      <c r="AW261">
        <v>4.1782099999999999E-3</v>
      </c>
      <c r="AX261">
        <v>1.253464E-2</v>
      </c>
      <c r="AY261">
        <v>3.1597729999999997E-2</v>
      </c>
      <c r="AZ261">
        <v>2.8725199999999999E-3</v>
      </c>
      <c r="BA261">
        <v>1.9585399999999999E-3</v>
      </c>
      <c r="BB261">
        <v>9.1398E-4</v>
      </c>
    </row>
    <row r="262" spans="1:62" x14ac:dyDescent="0.2">
      <c r="A262">
        <v>261</v>
      </c>
      <c r="B262" t="s">
        <v>466</v>
      </c>
      <c r="C262" t="s">
        <v>467</v>
      </c>
      <c r="D262" t="s">
        <v>468</v>
      </c>
      <c r="E262" t="s">
        <v>449</v>
      </c>
      <c r="F262" t="s">
        <v>450</v>
      </c>
      <c r="G262" t="s">
        <v>481</v>
      </c>
      <c r="H262">
        <v>5.8538640000000003E-3</v>
      </c>
      <c r="I262" s="1">
        <v>1.7340500000000001E-5</v>
      </c>
      <c r="J262">
        <f t="shared" si="8"/>
        <v>0.71135793363356636</v>
      </c>
      <c r="K262">
        <f t="shared" si="9"/>
        <v>0.57965735676764052</v>
      </c>
      <c r="L262">
        <v>28</v>
      </c>
      <c r="M262" t="s">
        <v>154</v>
      </c>
      <c r="N262">
        <v>7.6320900000000002E-3</v>
      </c>
      <c r="R262">
        <v>1.0903E-3</v>
      </c>
      <c r="S262">
        <v>3.9977600000000004E-3</v>
      </c>
      <c r="T262">
        <v>1.4537300000000001E-3</v>
      </c>
      <c r="U262">
        <v>3.6343299999999999E-3</v>
      </c>
      <c r="AB262">
        <v>7.2687000000000001E-4</v>
      </c>
      <c r="AH262">
        <v>1.6717909999999999E-2</v>
      </c>
      <c r="AJ262">
        <v>7.9955200000000008E-3</v>
      </c>
      <c r="AK262">
        <v>7.6320900000000002E-3</v>
      </c>
      <c r="AM262">
        <v>1.81716E-3</v>
      </c>
      <c r="AP262">
        <v>1.4537309999999999E-2</v>
      </c>
      <c r="AQ262">
        <v>9.4492499999999993E-3</v>
      </c>
      <c r="AR262">
        <v>1.090298E-2</v>
      </c>
      <c r="AT262">
        <v>1.3083579999999999E-2</v>
      </c>
      <c r="AU262">
        <v>3.6343299999999999E-3</v>
      </c>
      <c r="AV262">
        <v>6.5417899999999996E-3</v>
      </c>
      <c r="AW262">
        <v>6.5417899999999996E-3</v>
      </c>
      <c r="AX262">
        <v>3.6343299999999999E-3</v>
      </c>
      <c r="AY262">
        <v>6.5417899999999996E-3</v>
      </c>
      <c r="AZ262">
        <v>5.8149200000000003E-3</v>
      </c>
      <c r="BA262">
        <v>7.9955200000000008E-3</v>
      </c>
      <c r="BB262">
        <v>3.6343299999999999E-3</v>
      </c>
      <c r="BC262">
        <v>5.4514899999999998E-3</v>
      </c>
      <c r="BD262">
        <v>1.81716E-3</v>
      </c>
      <c r="BE262">
        <v>4.36119E-3</v>
      </c>
      <c r="BF262">
        <v>3.9977600000000004E-3</v>
      </c>
      <c r="BI262">
        <v>7.2687000000000001E-4</v>
      </c>
      <c r="BJ262">
        <v>2.5440300000000001E-3</v>
      </c>
    </row>
    <row r="263" spans="1:62" x14ac:dyDescent="0.2">
      <c r="A263">
        <v>262</v>
      </c>
      <c r="B263" t="s">
        <v>466</v>
      </c>
      <c r="C263" t="s">
        <v>467</v>
      </c>
      <c r="D263" t="s">
        <v>468</v>
      </c>
      <c r="E263" t="s">
        <v>449</v>
      </c>
      <c r="F263" t="s">
        <v>450</v>
      </c>
      <c r="G263" t="s">
        <v>482</v>
      </c>
      <c r="H263">
        <v>1.0511139999999999E-3</v>
      </c>
      <c r="I263" s="1">
        <v>4.1073000000000003E-7</v>
      </c>
      <c r="J263">
        <f t="shared" si="8"/>
        <v>0.60971712341864348</v>
      </c>
      <c r="K263">
        <f t="shared" si="9"/>
        <v>0.52058316651733749</v>
      </c>
      <c r="L263">
        <v>11</v>
      </c>
      <c r="M263" t="s">
        <v>154</v>
      </c>
      <c r="N263">
        <v>1.9821000000000001E-3</v>
      </c>
      <c r="O263">
        <v>3.3034999999999998E-4</v>
      </c>
      <c r="AA263">
        <v>6.6069999999999996E-4</v>
      </c>
      <c r="AG263">
        <v>9.9105000000000005E-4</v>
      </c>
      <c r="AI263">
        <v>1.9821000000000001E-3</v>
      </c>
      <c r="AK263">
        <v>9.9105000000000005E-4</v>
      </c>
      <c r="AL263">
        <v>6.6069999999999996E-4</v>
      </c>
      <c r="AM263">
        <v>9.9105000000000005E-4</v>
      </c>
      <c r="AP263">
        <v>6.6069999999999996E-4</v>
      </c>
      <c r="BC263">
        <v>3.3034999999999998E-4</v>
      </c>
      <c r="BJ263">
        <v>1.9821000000000001E-3</v>
      </c>
    </row>
    <row r="264" spans="1:62" x14ac:dyDescent="0.2">
      <c r="A264">
        <v>263</v>
      </c>
      <c r="B264" t="s">
        <v>466</v>
      </c>
      <c r="C264" t="s">
        <v>467</v>
      </c>
      <c r="D264" t="s">
        <v>468</v>
      </c>
      <c r="E264" t="s">
        <v>449</v>
      </c>
      <c r="F264" t="s">
        <v>450</v>
      </c>
      <c r="G264" t="s">
        <v>483</v>
      </c>
      <c r="H264">
        <v>4.1698041999999998E-2</v>
      </c>
      <c r="I264">
        <v>5.798531E-3</v>
      </c>
      <c r="J264">
        <f t="shared" si="8"/>
        <v>1.8261789364208305</v>
      </c>
      <c r="K264">
        <f t="shared" si="9"/>
        <v>0.87710645950584964</v>
      </c>
      <c r="L264">
        <v>17</v>
      </c>
      <c r="M264" t="s">
        <v>154</v>
      </c>
      <c r="AB264">
        <v>0.31640402000000001</v>
      </c>
      <c r="AD264">
        <v>6.9973969999999996E-2</v>
      </c>
      <c r="AE264">
        <v>5.4762230000000002E-2</v>
      </c>
      <c r="AH264">
        <v>2.4338769999999999E-2</v>
      </c>
      <c r="AI264">
        <v>6.0846900000000002E-3</v>
      </c>
      <c r="AK264">
        <v>3.0423500000000001E-3</v>
      </c>
      <c r="AL264">
        <v>1.216939E-2</v>
      </c>
      <c r="AM264">
        <v>3.0423500000000001E-3</v>
      </c>
      <c r="AN264">
        <v>0.10343978</v>
      </c>
      <c r="AP264">
        <v>3.0423459999999999E-2</v>
      </c>
      <c r="AQ264">
        <v>6.0846900000000002E-3</v>
      </c>
      <c r="AR264">
        <v>3.6508159999999998E-2</v>
      </c>
      <c r="AS264">
        <v>1.8254079999999999E-2</v>
      </c>
      <c r="AT264">
        <v>6.0846900000000002E-3</v>
      </c>
      <c r="AW264">
        <v>1.216939E-2</v>
      </c>
      <c r="AY264">
        <v>3.0423500000000001E-3</v>
      </c>
      <c r="BB264">
        <v>3.0423500000000001E-3</v>
      </c>
    </row>
    <row r="265" spans="1:62" x14ac:dyDescent="0.2">
      <c r="A265">
        <v>264</v>
      </c>
      <c r="B265" t="s">
        <v>466</v>
      </c>
      <c r="C265" t="s">
        <v>467</v>
      </c>
      <c r="D265" t="s">
        <v>468</v>
      </c>
      <c r="E265" t="s">
        <v>449</v>
      </c>
      <c r="F265" t="s">
        <v>450</v>
      </c>
      <c r="G265" t="s">
        <v>483</v>
      </c>
      <c r="H265">
        <v>6.8595219999999998E-3</v>
      </c>
      <c r="I265" s="1">
        <v>6.10189E-5</v>
      </c>
      <c r="J265">
        <f t="shared" si="8"/>
        <v>1.1387760737140453</v>
      </c>
      <c r="K265">
        <f t="shared" si="9"/>
        <v>0.75140781772366194</v>
      </c>
      <c r="L265">
        <v>40</v>
      </c>
      <c r="M265" t="s">
        <v>154</v>
      </c>
      <c r="Q265">
        <v>1.3261499999999999E-3</v>
      </c>
      <c r="T265">
        <v>2.6522999999999998E-4</v>
      </c>
      <c r="V265">
        <v>6.2329100000000004E-3</v>
      </c>
      <c r="X265">
        <v>2.6522999999999998E-4</v>
      </c>
      <c r="Z265">
        <v>1.4587700000000001E-3</v>
      </c>
      <c r="AA265">
        <v>6.6307600000000003E-3</v>
      </c>
      <c r="AB265">
        <v>4.2436899999999996E-3</v>
      </c>
      <c r="AC265">
        <v>7.1612200000000003E-3</v>
      </c>
      <c r="AD265">
        <v>9.5482999999999991E-3</v>
      </c>
      <c r="AE265">
        <v>1.4057210000000001E-2</v>
      </c>
      <c r="AF265">
        <v>4.7741499999999996E-3</v>
      </c>
      <c r="AG265">
        <v>5.3045999999999996E-4</v>
      </c>
      <c r="AH265">
        <v>5.5698400000000004E-3</v>
      </c>
      <c r="AI265">
        <v>1.3261499999999999E-3</v>
      </c>
      <c r="AJ265">
        <v>2.1218399999999998E-3</v>
      </c>
      <c r="AK265">
        <v>7.9569000000000005E-4</v>
      </c>
      <c r="AL265">
        <v>2.1218399999999998E-3</v>
      </c>
      <c r="AM265">
        <v>3.0501500000000002E-3</v>
      </c>
      <c r="AN265">
        <v>2.307505E-2</v>
      </c>
      <c r="AO265">
        <v>2.6522999999999998E-3</v>
      </c>
      <c r="AP265">
        <v>5.3046100000000004E-3</v>
      </c>
      <c r="AQ265">
        <v>1.0343990000000001E-2</v>
      </c>
      <c r="AR265">
        <v>2.8379660000000001E-2</v>
      </c>
      <c r="AS265">
        <v>1.4057210000000001E-2</v>
      </c>
      <c r="AT265">
        <v>1.4322440000000001E-2</v>
      </c>
      <c r="AU265">
        <v>3.9784599999999996E-3</v>
      </c>
      <c r="AV265">
        <v>3.4480000000000001E-3</v>
      </c>
      <c r="AW265">
        <v>1.511813E-2</v>
      </c>
      <c r="AX265">
        <v>1.2731060000000001E-2</v>
      </c>
      <c r="AY265">
        <v>1.3526750000000001E-2</v>
      </c>
      <c r="AZ265">
        <v>7.1612200000000003E-3</v>
      </c>
      <c r="BA265">
        <v>3.4214719999999997E-2</v>
      </c>
      <c r="BB265">
        <v>4.1110699999999997E-3</v>
      </c>
      <c r="BC265">
        <v>1.5913800000000001E-3</v>
      </c>
      <c r="BD265">
        <v>1.9892299999999998E-3</v>
      </c>
      <c r="BE265">
        <v>9.2831000000000001E-4</v>
      </c>
      <c r="BG265">
        <v>9.2831000000000001E-4</v>
      </c>
      <c r="BH265">
        <v>3.9784999999999999E-4</v>
      </c>
      <c r="BI265">
        <v>2.5196900000000002E-3</v>
      </c>
      <c r="BJ265">
        <v>2.1218399999999998E-3</v>
      </c>
    </row>
    <row r="266" spans="1:62" x14ac:dyDescent="0.2">
      <c r="A266">
        <v>265</v>
      </c>
      <c r="B266" t="s">
        <v>466</v>
      </c>
      <c r="C266" t="s">
        <v>467</v>
      </c>
      <c r="D266" t="s">
        <v>468</v>
      </c>
      <c r="E266" t="s">
        <v>449</v>
      </c>
      <c r="F266" t="s">
        <v>450</v>
      </c>
      <c r="G266" t="s">
        <v>483</v>
      </c>
      <c r="H266">
        <v>9.0000419999999998E-3</v>
      </c>
      <c r="I266">
        <v>2.9232800000000001E-4</v>
      </c>
      <c r="J266">
        <f t="shared" si="8"/>
        <v>1.8997247091807803</v>
      </c>
      <c r="K266">
        <f t="shared" si="9"/>
        <v>0.88489040512791939</v>
      </c>
      <c r="L266">
        <v>32</v>
      </c>
      <c r="M266" t="s">
        <v>154</v>
      </c>
      <c r="P266">
        <v>1.2891700000000001E-3</v>
      </c>
      <c r="Q266">
        <v>2.5783000000000002E-4</v>
      </c>
      <c r="R266">
        <v>1.0313399999999999E-3</v>
      </c>
      <c r="T266">
        <v>2.5783000000000002E-4</v>
      </c>
      <c r="U266">
        <v>5.1566999999999997E-4</v>
      </c>
      <c r="W266">
        <v>2.0626799999999999E-3</v>
      </c>
      <c r="X266">
        <v>2.5783000000000002E-4</v>
      </c>
      <c r="Y266">
        <v>7.7349999999999999E-4</v>
      </c>
      <c r="AB266">
        <v>3.5065520000000003E-2</v>
      </c>
      <c r="AC266">
        <v>1.495441E-2</v>
      </c>
      <c r="AD266">
        <v>1.598575E-2</v>
      </c>
      <c r="AE266">
        <v>1.7017089999999999E-2</v>
      </c>
      <c r="AF266">
        <v>4.64103E-3</v>
      </c>
      <c r="AG266">
        <v>3.35185E-3</v>
      </c>
      <c r="AH266">
        <v>5.6723600000000004E-3</v>
      </c>
      <c r="AI266">
        <v>1.0313399999999999E-3</v>
      </c>
      <c r="AJ266">
        <v>1.18604E-2</v>
      </c>
      <c r="AK266">
        <v>2.0626799999999999E-3</v>
      </c>
      <c r="AL266">
        <v>5.6723600000000004E-3</v>
      </c>
      <c r="AM266">
        <v>6.9615399999999996E-3</v>
      </c>
      <c r="AN266">
        <v>9.3851840000000006E-2</v>
      </c>
      <c r="AO266">
        <v>1.108689E-2</v>
      </c>
      <c r="AP266">
        <v>6.1880299999999997E-3</v>
      </c>
      <c r="AQ266">
        <v>8.2507099999999996E-3</v>
      </c>
      <c r="AR266">
        <v>8.2507099999999996E-3</v>
      </c>
      <c r="AS266">
        <v>1.289174E-2</v>
      </c>
      <c r="AT266">
        <v>7.7350400000000003E-3</v>
      </c>
      <c r="AV266">
        <v>1.0313399999999999E-3</v>
      </c>
      <c r="BC266">
        <v>4.1253599999999998E-3</v>
      </c>
      <c r="BD266">
        <v>2.32051E-3</v>
      </c>
      <c r="BE266">
        <v>7.7349999999999999E-4</v>
      </c>
      <c r="BJ266">
        <v>7.7349999999999999E-4</v>
      </c>
    </row>
    <row r="267" spans="1:62" x14ac:dyDescent="0.2">
      <c r="A267">
        <v>266</v>
      </c>
      <c r="B267" t="s">
        <v>466</v>
      </c>
      <c r="C267" t="s">
        <v>467</v>
      </c>
      <c r="D267" t="s">
        <v>468</v>
      </c>
      <c r="E267" t="s">
        <v>449</v>
      </c>
      <c r="F267" t="s">
        <v>450</v>
      </c>
      <c r="G267" t="s">
        <v>483</v>
      </c>
      <c r="H267">
        <v>8.8383839999999995E-3</v>
      </c>
      <c r="I267">
        <v>1.5239799999999999E-4</v>
      </c>
      <c r="J267">
        <f t="shared" si="8"/>
        <v>1.3967438487790167</v>
      </c>
      <c r="K267">
        <f t="shared" si="9"/>
        <v>0.81309259978602266</v>
      </c>
      <c r="L267">
        <v>34</v>
      </c>
      <c r="M267" t="s">
        <v>154</v>
      </c>
      <c r="R267">
        <v>6.8141999999999996E-4</v>
      </c>
      <c r="T267">
        <v>6.8141999999999996E-4</v>
      </c>
      <c r="U267">
        <v>6.8141999999999996E-4</v>
      </c>
      <c r="W267">
        <v>3.4070900000000002E-3</v>
      </c>
      <c r="X267">
        <v>1.36283E-3</v>
      </c>
      <c r="Y267">
        <v>6.8141999999999996E-4</v>
      </c>
      <c r="Z267">
        <v>1.5672599999999998E-2</v>
      </c>
      <c r="AA267">
        <v>1.090268E-2</v>
      </c>
      <c r="AB267">
        <v>3.4070870000000003E-2</v>
      </c>
      <c r="AC267">
        <v>1.36283E-3</v>
      </c>
      <c r="AD267">
        <v>3.2026619999999999E-2</v>
      </c>
      <c r="AE267">
        <v>1.36283E-3</v>
      </c>
      <c r="AF267">
        <v>6.8141999999999996E-4</v>
      </c>
      <c r="AG267">
        <v>4.0203629999999997E-2</v>
      </c>
      <c r="AJ267">
        <v>1.36283E-3</v>
      </c>
      <c r="AK267">
        <v>7.4955899999999999E-3</v>
      </c>
      <c r="AM267">
        <v>7.4955899999999999E-3</v>
      </c>
      <c r="AN267">
        <v>5.042489E-2</v>
      </c>
      <c r="AO267">
        <v>4.7699200000000004E-3</v>
      </c>
      <c r="AP267">
        <v>1.090268E-2</v>
      </c>
      <c r="AQ267">
        <v>1.36283E-3</v>
      </c>
      <c r="AR267">
        <v>1.226551E-2</v>
      </c>
      <c r="AS267">
        <v>1.36283E-3</v>
      </c>
      <c r="AT267">
        <v>1.499118E-2</v>
      </c>
      <c r="AX267">
        <v>1.36283E-3</v>
      </c>
      <c r="AY267">
        <v>1.090268E-2</v>
      </c>
      <c r="AZ267">
        <v>6.8141699999999996E-3</v>
      </c>
      <c r="BA267">
        <v>8.1770100000000002E-3</v>
      </c>
      <c r="BB267">
        <v>8.1770100000000002E-3</v>
      </c>
      <c r="BC267">
        <v>1.36283E-3</v>
      </c>
      <c r="BD267">
        <v>3.4070900000000002E-3</v>
      </c>
      <c r="BE267">
        <v>6.8141999999999996E-4</v>
      </c>
      <c r="BF267">
        <v>1.36283E-3</v>
      </c>
      <c r="BG267">
        <v>2.0442500000000001E-3</v>
      </c>
    </row>
    <row r="268" spans="1:62" x14ac:dyDescent="0.2">
      <c r="A268">
        <v>267</v>
      </c>
      <c r="B268" t="s">
        <v>466</v>
      </c>
      <c r="C268" t="s">
        <v>467</v>
      </c>
      <c r="D268" t="s">
        <v>468</v>
      </c>
      <c r="E268" t="s">
        <v>449</v>
      </c>
      <c r="F268" t="s">
        <v>450</v>
      </c>
      <c r="G268" t="s">
        <v>483</v>
      </c>
      <c r="H268">
        <v>8.5942469999999993E-3</v>
      </c>
      <c r="I268" s="1">
        <v>9.2334699999999995E-5</v>
      </c>
      <c r="J268">
        <f t="shared" si="8"/>
        <v>1.1180845338029035</v>
      </c>
      <c r="K268">
        <f t="shared" si="9"/>
        <v>0.74537096824772919</v>
      </c>
      <c r="L268">
        <v>15</v>
      </c>
      <c r="M268" t="s">
        <v>154</v>
      </c>
      <c r="S268">
        <v>1.15102E-3</v>
      </c>
      <c r="W268">
        <v>2.30203E-3</v>
      </c>
      <c r="AA268">
        <v>1.151015E-2</v>
      </c>
      <c r="AB268">
        <v>3.4530449999999997E-2</v>
      </c>
      <c r="AD268">
        <v>2.071827E-2</v>
      </c>
      <c r="AF268">
        <v>1.151015E-2</v>
      </c>
      <c r="AL268">
        <v>4.6040600000000001E-3</v>
      </c>
      <c r="AM268">
        <v>2.30203E-3</v>
      </c>
      <c r="AO268">
        <v>1.381218E-2</v>
      </c>
      <c r="AR268">
        <v>1.611421E-2</v>
      </c>
      <c r="AS268">
        <v>4.6040600000000001E-3</v>
      </c>
      <c r="AY268">
        <v>2.30203E-3</v>
      </c>
      <c r="BA268">
        <v>1.15102E-3</v>
      </c>
      <c r="BE268">
        <v>1.15102E-3</v>
      </c>
      <c r="BI268">
        <v>1.15102E-3</v>
      </c>
    </row>
    <row r="269" spans="1:62" x14ac:dyDescent="0.2">
      <c r="A269">
        <v>268</v>
      </c>
      <c r="B269" t="s">
        <v>466</v>
      </c>
      <c r="C269" t="s">
        <v>467</v>
      </c>
      <c r="D269" t="s">
        <v>468</v>
      </c>
      <c r="E269" t="s">
        <v>449</v>
      </c>
      <c r="F269" t="s">
        <v>450</v>
      </c>
      <c r="G269" t="s">
        <v>484</v>
      </c>
      <c r="H269">
        <v>1.328135E-3</v>
      </c>
      <c r="I269" s="1">
        <v>1.3549599999999999E-6</v>
      </c>
      <c r="J269">
        <f t="shared" si="8"/>
        <v>0.87643762952131787</v>
      </c>
      <c r="K269">
        <f t="shared" si="9"/>
        <v>0.6591167259453955</v>
      </c>
      <c r="L269">
        <v>25</v>
      </c>
      <c r="M269" t="s">
        <v>154</v>
      </c>
      <c r="AK269">
        <v>1.5588399999999999E-3</v>
      </c>
      <c r="AL269">
        <v>2.4941500000000001E-3</v>
      </c>
      <c r="AM269">
        <v>7.7941999999999996E-4</v>
      </c>
      <c r="AN269">
        <v>1.24708E-3</v>
      </c>
      <c r="AO269">
        <v>7.7941999999999996E-4</v>
      </c>
      <c r="AP269">
        <v>1.87061E-3</v>
      </c>
      <c r="AQ269">
        <v>5.3000699999999996E-3</v>
      </c>
      <c r="AR269">
        <v>3.1177000000000001E-4</v>
      </c>
      <c r="AS269">
        <v>2.8059199999999999E-3</v>
      </c>
      <c r="AT269">
        <v>9.3530999999999996E-4</v>
      </c>
      <c r="AU269">
        <v>1.87061E-3</v>
      </c>
      <c r="AV269">
        <v>1.87061E-3</v>
      </c>
      <c r="AW269">
        <v>1.24708E-3</v>
      </c>
      <c r="AX269">
        <v>3.1176899999999998E-3</v>
      </c>
      <c r="AY269">
        <v>6.2354000000000001E-4</v>
      </c>
      <c r="AZ269">
        <v>6.2354000000000001E-4</v>
      </c>
      <c r="BA269">
        <v>1.40296E-3</v>
      </c>
      <c r="BC269">
        <v>6.2354000000000001E-4</v>
      </c>
      <c r="BD269">
        <v>3.1177000000000001E-4</v>
      </c>
      <c r="BE269">
        <v>1.5588399999999999E-3</v>
      </c>
      <c r="BF269">
        <v>3.1177000000000001E-4</v>
      </c>
      <c r="BG269">
        <v>3.1177000000000001E-4</v>
      </c>
      <c r="BH269">
        <v>1.5588000000000001E-4</v>
      </c>
      <c r="BI269">
        <v>6.2354000000000001E-4</v>
      </c>
      <c r="BJ269">
        <v>4.6765000000000001E-4</v>
      </c>
    </row>
    <row r="270" spans="1:62" x14ac:dyDescent="0.2">
      <c r="A270">
        <v>269</v>
      </c>
      <c r="B270" t="s">
        <v>466</v>
      </c>
      <c r="C270" t="s">
        <v>467</v>
      </c>
      <c r="D270" t="s">
        <v>468</v>
      </c>
      <c r="E270" t="s">
        <v>449</v>
      </c>
      <c r="F270" t="s">
        <v>450</v>
      </c>
      <c r="G270" t="s">
        <v>485</v>
      </c>
      <c r="H270">
        <v>5.1944790000000001E-3</v>
      </c>
      <c r="I270" s="1">
        <v>8.28061E-5</v>
      </c>
      <c r="J270">
        <f t="shared" si="8"/>
        <v>1.7518187505932099</v>
      </c>
      <c r="K270">
        <f t="shared" si="9"/>
        <v>0.8684649990023221</v>
      </c>
      <c r="L270">
        <v>39</v>
      </c>
      <c r="M270" t="s">
        <v>154</v>
      </c>
      <c r="Q270">
        <v>4.5059999999999999E-5</v>
      </c>
      <c r="R270">
        <v>1.0513E-4</v>
      </c>
      <c r="S270">
        <v>1.0513E-4</v>
      </c>
      <c r="T270">
        <v>2.0771000000000001E-3</v>
      </c>
      <c r="U270">
        <v>2.4931200000000001E-3</v>
      </c>
      <c r="V270">
        <v>5.9204100000000001E-3</v>
      </c>
      <c r="W270">
        <v>8.1011299999999998E-3</v>
      </c>
      <c r="X270">
        <v>2.4931200000000001E-3</v>
      </c>
      <c r="Y270">
        <v>8.3129000000000005E-4</v>
      </c>
      <c r="Z270">
        <v>2.2851099999999999E-3</v>
      </c>
      <c r="AA270">
        <v>6.2328000000000004E-4</v>
      </c>
      <c r="AB270">
        <v>2.368087E-2</v>
      </c>
      <c r="AC270">
        <v>1.2465600000000001E-3</v>
      </c>
      <c r="AD270">
        <v>8.3129000000000005E-4</v>
      </c>
      <c r="AE270">
        <v>6.64732E-3</v>
      </c>
      <c r="AG270">
        <v>3.9469400000000003E-3</v>
      </c>
      <c r="AI270">
        <v>3.32366E-3</v>
      </c>
      <c r="AJ270">
        <v>4.1130449999999999E-2</v>
      </c>
      <c r="AK270">
        <v>5.8167799999999997E-3</v>
      </c>
      <c r="AL270">
        <v>4.36221E-3</v>
      </c>
      <c r="AM270">
        <v>4.1549500000000001E-3</v>
      </c>
      <c r="AN270">
        <v>3.8325690000000003E-2</v>
      </c>
      <c r="AO270">
        <v>2.0771000000000001E-3</v>
      </c>
      <c r="AP270">
        <v>8.9324199999999999E-3</v>
      </c>
      <c r="AQ270">
        <v>3.9469400000000003E-3</v>
      </c>
      <c r="AR270">
        <v>4.9854900000000004E-3</v>
      </c>
      <c r="AS270">
        <v>1.45382E-3</v>
      </c>
      <c r="AT270">
        <v>7.6858600000000001E-3</v>
      </c>
      <c r="AU270">
        <v>4.1526999999999997E-4</v>
      </c>
      <c r="AV270">
        <v>8.3129000000000005E-4</v>
      </c>
      <c r="AW270">
        <v>1.2465600000000001E-3</v>
      </c>
      <c r="BA270">
        <v>2.2851099999999999E-3</v>
      </c>
      <c r="BB270">
        <v>1.45382E-3</v>
      </c>
      <c r="BC270">
        <v>1.2465600000000001E-3</v>
      </c>
      <c r="BE270">
        <v>2.7003800000000001E-3</v>
      </c>
      <c r="BG270">
        <v>1.66183E-3</v>
      </c>
      <c r="BH270">
        <v>1.0385500000000001E-3</v>
      </c>
      <c r="BI270">
        <v>1.45382E-3</v>
      </c>
      <c r="BJ270">
        <v>6.2328000000000004E-4</v>
      </c>
    </row>
    <row r="271" spans="1:62" x14ac:dyDescent="0.2">
      <c r="A271">
        <v>270</v>
      </c>
      <c r="B271" t="s">
        <v>466</v>
      </c>
      <c r="C271" t="s">
        <v>467</v>
      </c>
      <c r="D271" t="s">
        <v>468</v>
      </c>
      <c r="E271" t="s">
        <v>449</v>
      </c>
      <c r="F271" t="s">
        <v>450</v>
      </c>
      <c r="G271" t="s">
        <v>486</v>
      </c>
      <c r="H271">
        <v>3.0794749999999999E-3</v>
      </c>
      <c r="I271" s="1">
        <v>6.1417799999999997E-6</v>
      </c>
      <c r="J271">
        <f t="shared" si="8"/>
        <v>0.80476752933993967</v>
      </c>
      <c r="K271">
        <f t="shared" si="9"/>
        <v>0.62695715286954867</v>
      </c>
      <c r="L271">
        <v>31</v>
      </c>
      <c r="M271" t="s">
        <v>154</v>
      </c>
      <c r="AD271">
        <v>3.2624999999999999E-4</v>
      </c>
      <c r="AF271">
        <v>9.7758000000000003E-4</v>
      </c>
      <c r="AG271">
        <v>1.6289099999999999E-3</v>
      </c>
      <c r="AH271">
        <v>1.9551600000000001E-3</v>
      </c>
      <c r="AJ271">
        <v>1.9551600000000001E-3</v>
      </c>
      <c r="AK271">
        <v>7.8194700000000002E-3</v>
      </c>
      <c r="AL271">
        <v>1.9551600000000001E-3</v>
      </c>
      <c r="AM271">
        <v>2.6064899999999999E-3</v>
      </c>
      <c r="AN271">
        <v>6.8418899999999998E-3</v>
      </c>
      <c r="AO271">
        <v>4.2354000000000003E-3</v>
      </c>
      <c r="AP271">
        <v>8.7970500000000007E-3</v>
      </c>
      <c r="AQ271">
        <v>5.2129799999999999E-3</v>
      </c>
      <c r="AR271">
        <v>7.1681399999999999E-3</v>
      </c>
      <c r="AS271">
        <v>4.2354000000000003E-3</v>
      </c>
      <c r="AT271">
        <v>3.9103200000000001E-3</v>
      </c>
      <c r="AU271">
        <v>1.9551600000000001E-3</v>
      </c>
      <c r="AV271">
        <v>1.6289099999999999E-3</v>
      </c>
      <c r="AW271">
        <v>1.30383E-3</v>
      </c>
      <c r="AX271">
        <v>7.8194700000000002E-3</v>
      </c>
      <c r="AY271">
        <v>5.2129799999999999E-3</v>
      </c>
      <c r="AZ271">
        <v>2.2802399999999998E-3</v>
      </c>
      <c r="BA271">
        <v>4.5616500000000004E-3</v>
      </c>
      <c r="BB271">
        <v>1.6289099999999999E-3</v>
      </c>
      <c r="BC271">
        <v>1.6289099999999999E-3</v>
      </c>
      <c r="BD271">
        <v>6.5132999999999999E-4</v>
      </c>
      <c r="BE271">
        <v>6.5132999999999999E-4</v>
      </c>
      <c r="BF271">
        <v>6.5132999999999999E-4</v>
      </c>
      <c r="BG271">
        <v>6.5132999999999999E-4</v>
      </c>
      <c r="BH271">
        <v>1.6289099999999999E-3</v>
      </c>
      <c r="BI271">
        <v>2.9327400000000001E-3</v>
      </c>
      <c r="BJ271">
        <v>6.5132999999999999E-4</v>
      </c>
    </row>
    <row r="272" spans="1:62" x14ac:dyDescent="0.2">
      <c r="A272">
        <v>271</v>
      </c>
      <c r="B272" t="s">
        <v>466</v>
      </c>
      <c r="C272" t="s">
        <v>467</v>
      </c>
      <c r="D272" t="s">
        <v>468</v>
      </c>
      <c r="E272" t="s">
        <v>449</v>
      </c>
      <c r="F272" t="s">
        <v>450</v>
      </c>
      <c r="G272" t="s">
        <v>486</v>
      </c>
      <c r="H272">
        <v>1.8146950000000001E-3</v>
      </c>
      <c r="I272" s="1">
        <v>1.3004E-5</v>
      </c>
      <c r="J272">
        <f t="shared" si="8"/>
        <v>1.9871691567990939</v>
      </c>
      <c r="K272">
        <f t="shared" si="9"/>
        <v>0.89327067349701961</v>
      </c>
      <c r="L272">
        <v>24</v>
      </c>
      <c r="M272" t="s">
        <v>154</v>
      </c>
      <c r="Q272">
        <v>2.3172000000000001E-4</v>
      </c>
      <c r="R272">
        <v>5.7930999999999998E-4</v>
      </c>
      <c r="S272">
        <v>1.50621E-3</v>
      </c>
      <c r="T272">
        <v>5.7930999999999998E-4</v>
      </c>
      <c r="U272">
        <v>1.1006900000000001E-3</v>
      </c>
      <c r="V272">
        <v>9.2690000000000003E-4</v>
      </c>
      <c r="W272">
        <v>6.3723999999999996E-4</v>
      </c>
      <c r="X272">
        <v>1.7379E-4</v>
      </c>
      <c r="Y272">
        <v>3.4759E-4</v>
      </c>
      <c r="Z272">
        <v>8.1103999999999996E-4</v>
      </c>
      <c r="AB272">
        <v>1.100693E-2</v>
      </c>
      <c r="AD272">
        <v>5.7930000000000003E-5</v>
      </c>
      <c r="AE272">
        <v>5.7930999999999998E-4</v>
      </c>
      <c r="AF272">
        <v>2.8966000000000002E-4</v>
      </c>
      <c r="AG272">
        <v>6.9516999999999995E-4</v>
      </c>
      <c r="AH272">
        <v>2.7807000000000001E-3</v>
      </c>
      <c r="AI272">
        <v>1.5224329999999999E-2</v>
      </c>
      <c r="AK272">
        <v>1.21656E-3</v>
      </c>
      <c r="AU272">
        <v>1.62207E-3</v>
      </c>
      <c r="AX272">
        <v>2.43311E-3</v>
      </c>
      <c r="BC272">
        <v>5.7930000000000003E-5</v>
      </c>
      <c r="BF272">
        <v>1.1586000000000001E-4</v>
      </c>
      <c r="BH272">
        <v>4.6345000000000002E-4</v>
      </c>
      <c r="BJ272">
        <v>1.1586000000000001E-4</v>
      </c>
    </row>
    <row r="273" spans="1:62" x14ac:dyDescent="0.2">
      <c r="A273">
        <v>272</v>
      </c>
      <c r="B273" t="s">
        <v>466</v>
      </c>
      <c r="C273" t="s">
        <v>467</v>
      </c>
      <c r="D273" t="s">
        <v>468</v>
      </c>
      <c r="E273" t="s">
        <v>449</v>
      </c>
      <c r="F273" t="s">
        <v>450</v>
      </c>
      <c r="G273" t="s">
        <v>487</v>
      </c>
      <c r="H273">
        <v>1.0176459000000001E-2</v>
      </c>
      <c r="I273">
        <v>3.6326300000000001E-4</v>
      </c>
      <c r="J273">
        <f t="shared" si="8"/>
        <v>1.8728970060802226</v>
      </c>
      <c r="K273">
        <f t="shared" si="9"/>
        <v>0.88213349384422601</v>
      </c>
      <c r="L273">
        <v>41</v>
      </c>
      <c r="M273" t="s">
        <v>154</v>
      </c>
      <c r="O273">
        <v>5.3536999999999996E-4</v>
      </c>
      <c r="P273">
        <v>7.1383000000000004E-4</v>
      </c>
      <c r="Q273">
        <v>1.6061199999999999E-3</v>
      </c>
      <c r="R273">
        <v>1.0707500000000001E-3</v>
      </c>
      <c r="S273">
        <v>1.2492099999999999E-3</v>
      </c>
      <c r="T273">
        <v>1.2492099999999999E-3</v>
      </c>
      <c r="U273">
        <v>5.3537400000000001E-3</v>
      </c>
      <c r="V273">
        <v>1.2492099999999999E-3</v>
      </c>
      <c r="W273">
        <v>5.3536999999999996E-4</v>
      </c>
      <c r="X273">
        <v>3.2122399999999999E-3</v>
      </c>
      <c r="Y273">
        <v>4.1045300000000003E-3</v>
      </c>
      <c r="Z273">
        <v>5.3537400000000001E-3</v>
      </c>
      <c r="AA273">
        <v>5.3537399999999999E-2</v>
      </c>
      <c r="AC273">
        <v>7.1383200000000001E-3</v>
      </c>
      <c r="AD273">
        <v>8.9228999999999992E-3</v>
      </c>
      <c r="AE273">
        <v>6.4244899999999997E-3</v>
      </c>
      <c r="AF273">
        <v>6.2460299999999996E-3</v>
      </c>
      <c r="AG273">
        <v>1.6061199999999999E-3</v>
      </c>
      <c r="AH273">
        <v>2.1415000000000002E-3</v>
      </c>
      <c r="AI273">
        <v>1.0707500000000001E-3</v>
      </c>
      <c r="AJ273">
        <v>1.78458E-3</v>
      </c>
      <c r="AL273">
        <v>6.0675700000000004E-3</v>
      </c>
      <c r="AM273">
        <v>4.6399099999999997E-3</v>
      </c>
      <c r="AN273">
        <v>3.854693E-2</v>
      </c>
      <c r="AO273">
        <v>7.4952400000000002E-3</v>
      </c>
      <c r="AP273">
        <v>1.427664E-2</v>
      </c>
      <c r="AQ273">
        <v>1.142131E-2</v>
      </c>
      <c r="AR273">
        <v>2.2485709999999999E-2</v>
      </c>
      <c r="AS273">
        <v>9.2798160000000005E-2</v>
      </c>
      <c r="AT273">
        <v>6.531563E-2</v>
      </c>
      <c r="AU273">
        <v>7.1383000000000004E-4</v>
      </c>
      <c r="AV273">
        <v>6.4244899999999997E-3</v>
      </c>
      <c r="AW273">
        <v>8.2090700000000006E-3</v>
      </c>
      <c r="AY273">
        <v>2.8553300000000001E-3</v>
      </c>
      <c r="AZ273">
        <v>2.67687E-3</v>
      </c>
      <c r="BA273">
        <v>1.1956690000000001E-2</v>
      </c>
      <c r="BB273">
        <v>1.4276600000000001E-3</v>
      </c>
      <c r="BD273">
        <v>1.4276600000000001E-3</v>
      </c>
      <c r="BE273">
        <v>8.9229000000000001E-4</v>
      </c>
      <c r="BG273">
        <v>7.1383000000000004E-4</v>
      </c>
      <c r="BI273">
        <v>1.78458E-3</v>
      </c>
    </row>
    <row r="274" spans="1:62" x14ac:dyDescent="0.2">
      <c r="A274">
        <v>273</v>
      </c>
      <c r="B274" t="s">
        <v>466</v>
      </c>
      <c r="C274" t="s">
        <v>467</v>
      </c>
      <c r="D274" t="s">
        <v>468</v>
      </c>
      <c r="E274" t="s">
        <v>449</v>
      </c>
      <c r="F274" t="s">
        <v>450</v>
      </c>
      <c r="G274" t="s">
        <v>488</v>
      </c>
      <c r="H274">
        <v>3.6981567999999999E-2</v>
      </c>
      <c r="I274">
        <v>4.9648160000000004E-3</v>
      </c>
      <c r="J274">
        <f t="shared" si="8"/>
        <v>1.9053126804526432</v>
      </c>
      <c r="K274">
        <f t="shared" si="9"/>
        <v>0.88545320224686774</v>
      </c>
      <c r="L274">
        <v>32</v>
      </c>
      <c r="M274" t="s">
        <v>154</v>
      </c>
      <c r="Q274">
        <v>3.49089E-3</v>
      </c>
      <c r="R274">
        <v>6.98177E-3</v>
      </c>
      <c r="T274">
        <v>1.396354E-2</v>
      </c>
      <c r="U274">
        <v>1.396354E-2</v>
      </c>
      <c r="V274">
        <v>0.39097915999999999</v>
      </c>
      <c r="W274">
        <v>8.3781250000000002E-2</v>
      </c>
      <c r="X274">
        <v>6.2835940000000007E-2</v>
      </c>
      <c r="Y274">
        <v>2.0945310000000002E-2</v>
      </c>
      <c r="Z274">
        <v>1.047266E-2</v>
      </c>
      <c r="AA274">
        <v>6.2835940000000007E-2</v>
      </c>
      <c r="AB274">
        <v>5.5854170000000002E-2</v>
      </c>
      <c r="AC274">
        <v>6.98177E-3</v>
      </c>
      <c r="AD274">
        <v>4.1890620000000003E-2</v>
      </c>
      <c r="AE274">
        <v>6.98177E-3</v>
      </c>
      <c r="AF274">
        <v>3.49089E-3</v>
      </c>
      <c r="AH274">
        <v>2.0945310000000002E-2</v>
      </c>
      <c r="AI274">
        <v>4.8872400000000003E-2</v>
      </c>
      <c r="AJ274">
        <v>8.0290360000000005E-2</v>
      </c>
      <c r="AL274">
        <v>6.98177E-3</v>
      </c>
      <c r="AN274">
        <v>1.396354E-2</v>
      </c>
      <c r="AO274">
        <v>3.1417970000000003E-2</v>
      </c>
      <c r="AR274">
        <v>1.396354E-2</v>
      </c>
      <c r="AS274">
        <v>6.98177E-3</v>
      </c>
      <c r="AW274">
        <v>1.396354E-2</v>
      </c>
      <c r="AX274">
        <v>6.98177E-3</v>
      </c>
      <c r="AY274">
        <v>6.98177E-3</v>
      </c>
      <c r="AZ274">
        <v>1.745443E-2</v>
      </c>
      <c r="BA274">
        <v>0.11170832999999999</v>
      </c>
      <c r="BB274">
        <v>3.49089E-3</v>
      </c>
      <c r="BC274">
        <v>3.49089E-3</v>
      </c>
      <c r="BD274">
        <v>6.98177E-3</v>
      </c>
      <c r="BF274">
        <v>3.49089E-3</v>
      </c>
    </row>
    <row r="275" spans="1:62" x14ac:dyDescent="0.2">
      <c r="A275">
        <v>274</v>
      </c>
      <c r="B275" t="s">
        <v>466</v>
      </c>
      <c r="C275" t="s">
        <v>467</v>
      </c>
      <c r="D275" t="s">
        <v>468</v>
      </c>
      <c r="E275" t="s">
        <v>449</v>
      </c>
      <c r="F275" t="s">
        <v>450</v>
      </c>
      <c r="G275" t="s">
        <v>489</v>
      </c>
      <c r="H275">
        <v>7.9441600000000005E-4</v>
      </c>
      <c r="I275" s="1">
        <v>2.3522399999999999E-7</v>
      </c>
      <c r="J275">
        <f t="shared" si="8"/>
        <v>0.61051007163887594</v>
      </c>
      <c r="K275">
        <f t="shared" si="9"/>
        <v>0.52107645433407423</v>
      </c>
      <c r="L275">
        <v>19</v>
      </c>
      <c r="M275" t="s">
        <v>154</v>
      </c>
      <c r="Q275">
        <v>1.4881300000000001E-3</v>
      </c>
      <c r="R275">
        <v>8.5035999999999998E-4</v>
      </c>
      <c r="S275">
        <v>1.06295E-3</v>
      </c>
      <c r="T275">
        <v>6.3776999999999996E-4</v>
      </c>
      <c r="V275">
        <v>8.5035999999999998E-4</v>
      </c>
      <c r="W275">
        <v>8.5035999999999998E-4</v>
      </c>
      <c r="X275">
        <v>2.1259E-4</v>
      </c>
      <c r="AA275">
        <v>4.2517999999999999E-4</v>
      </c>
      <c r="AC275">
        <v>8.5035999999999998E-4</v>
      </c>
      <c r="AD275">
        <v>1.06295E-3</v>
      </c>
      <c r="AE275">
        <v>1.2755399999999999E-3</v>
      </c>
      <c r="AF275">
        <v>1.06295E-3</v>
      </c>
      <c r="AH275">
        <v>2.12591E-3</v>
      </c>
      <c r="AI275">
        <v>4.2517999999999999E-4</v>
      </c>
      <c r="AJ275">
        <v>4.2517999999999999E-4</v>
      </c>
      <c r="AL275">
        <v>4.2517999999999999E-4</v>
      </c>
      <c r="AM275">
        <v>2.1259E-4</v>
      </c>
      <c r="AZ275">
        <v>4.2517999999999999E-4</v>
      </c>
      <c r="BB275">
        <v>4.2517999999999999E-4</v>
      </c>
    </row>
    <row r="276" spans="1:62" x14ac:dyDescent="0.2">
      <c r="A276">
        <v>275</v>
      </c>
      <c r="B276" t="s">
        <v>466</v>
      </c>
      <c r="C276" t="s">
        <v>467</v>
      </c>
      <c r="D276" t="s">
        <v>468</v>
      </c>
      <c r="E276" t="s">
        <v>449</v>
      </c>
      <c r="F276" t="s">
        <v>450</v>
      </c>
      <c r="G276" t="s">
        <v>490</v>
      </c>
      <c r="H276">
        <v>1.779629E-3</v>
      </c>
      <c r="I276" s="1">
        <v>4.3807700000000001E-6</v>
      </c>
      <c r="J276">
        <f t="shared" si="8"/>
        <v>1.1761040675765169</v>
      </c>
      <c r="K276">
        <f t="shared" si="9"/>
        <v>0.76183972351964835</v>
      </c>
      <c r="L276">
        <v>10</v>
      </c>
      <c r="M276" t="s">
        <v>154</v>
      </c>
      <c r="S276">
        <v>7.6269800000000002E-3</v>
      </c>
      <c r="T276">
        <v>8.4743999999999998E-4</v>
      </c>
      <c r="U276">
        <v>1.6948899999999999E-3</v>
      </c>
      <c r="V276">
        <v>8.4743999999999998E-4</v>
      </c>
      <c r="W276">
        <v>8.4743999999999998E-4</v>
      </c>
      <c r="AF276">
        <v>1.6948899999999999E-3</v>
      </c>
      <c r="AH276">
        <v>1.6948899999999999E-3</v>
      </c>
      <c r="AU276">
        <v>8.4743999999999998E-4</v>
      </c>
      <c r="BF276">
        <v>8.4743999999999998E-4</v>
      </c>
      <c r="BG276">
        <v>8.4743999999999998E-4</v>
      </c>
    </row>
    <row r="277" spans="1:62" x14ac:dyDescent="0.2">
      <c r="A277">
        <v>276</v>
      </c>
      <c r="B277" t="s">
        <v>466</v>
      </c>
      <c r="C277" t="s">
        <v>467</v>
      </c>
      <c r="D277" t="s">
        <v>468</v>
      </c>
      <c r="E277" t="s">
        <v>449</v>
      </c>
      <c r="F277" t="s">
        <v>450</v>
      </c>
      <c r="G277" t="s">
        <v>491</v>
      </c>
      <c r="H277">
        <v>1.840574E-3</v>
      </c>
      <c r="I277" s="1">
        <v>4.9488400000000002E-6</v>
      </c>
      <c r="J277">
        <f t="shared" si="8"/>
        <v>1.2086440644280751</v>
      </c>
      <c r="K277">
        <f t="shared" si="9"/>
        <v>0.77047483379750137</v>
      </c>
      <c r="L277">
        <v>12</v>
      </c>
      <c r="M277" t="s">
        <v>154</v>
      </c>
      <c r="P277">
        <v>8.9784000000000001E-4</v>
      </c>
      <c r="W277">
        <v>3.5913999999999998E-4</v>
      </c>
      <c r="Y277">
        <v>7.1827000000000002E-4</v>
      </c>
      <c r="Z277">
        <v>7.1827000000000002E-4</v>
      </c>
      <c r="AB277">
        <v>8.2601399999999991E-3</v>
      </c>
      <c r="AC277">
        <v>1.07741E-3</v>
      </c>
      <c r="AD277">
        <v>1.07741E-3</v>
      </c>
      <c r="AE277">
        <v>3.23223E-3</v>
      </c>
      <c r="AF277">
        <v>2.87309E-3</v>
      </c>
      <c r="AH277">
        <v>7.1827000000000002E-4</v>
      </c>
      <c r="AO277">
        <v>1.79568E-3</v>
      </c>
      <c r="BC277">
        <v>3.5913999999999998E-4</v>
      </c>
    </row>
    <row r="278" spans="1:62" x14ac:dyDescent="0.2">
      <c r="A278">
        <v>277</v>
      </c>
      <c r="B278" t="s">
        <v>466</v>
      </c>
      <c r="C278" t="s">
        <v>467</v>
      </c>
      <c r="D278" t="s">
        <v>468</v>
      </c>
      <c r="E278" t="s">
        <v>449</v>
      </c>
      <c r="F278" t="s">
        <v>450</v>
      </c>
      <c r="G278" t="s">
        <v>492</v>
      </c>
      <c r="H278">
        <v>7.5070300000000003E-4</v>
      </c>
      <c r="I278" s="1">
        <v>1.40038E-6</v>
      </c>
      <c r="J278">
        <f t="shared" si="8"/>
        <v>1.5763577940055484</v>
      </c>
      <c r="K278">
        <f t="shared" si="9"/>
        <v>0.84442171979495229</v>
      </c>
      <c r="L278">
        <v>36</v>
      </c>
      <c r="M278" t="s">
        <v>154</v>
      </c>
      <c r="N278">
        <v>7.7214999999999998E-4</v>
      </c>
      <c r="O278">
        <v>6.0055999999999998E-4</v>
      </c>
      <c r="P278">
        <v>8.5790000000000004E-5</v>
      </c>
      <c r="Q278">
        <v>7.7214999999999998E-4</v>
      </c>
      <c r="R278">
        <v>8.5790000000000004E-5</v>
      </c>
      <c r="W278">
        <v>2.5737999999999998E-4</v>
      </c>
      <c r="X278">
        <v>8.5790000000000004E-5</v>
      </c>
      <c r="AB278">
        <v>3.4318E-4</v>
      </c>
      <c r="AE278">
        <v>5.1477000000000001E-4</v>
      </c>
      <c r="AF278">
        <v>3.4318E-4</v>
      </c>
      <c r="AG278">
        <v>1.2011299999999999E-3</v>
      </c>
      <c r="AH278">
        <v>1.02954E-3</v>
      </c>
      <c r="AI278">
        <v>3.4318E-4</v>
      </c>
      <c r="AJ278">
        <v>3.4318E-4</v>
      </c>
      <c r="AK278">
        <v>2.5737999999999998E-4</v>
      </c>
      <c r="AM278">
        <v>5.1477000000000001E-4</v>
      </c>
      <c r="AN278">
        <v>1.7159E-3</v>
      </c>
      <c r="AO278">
        <v>8.5795000000000001E-4</v>
      </c>
      <c r="AQ278">
        <v>1.02954E-3</v>
      </c>
      <c r="AR278">
        <v>6.8635800000000002E-3</v>
      </c>
      <c r="AS278">
        <v>1.02954E-3</v>
      </c>
      <c r="AT278">
        <v>2.9170200000000002E-3</v>
      </c>
      <c r="AU278">
        <v>1.7159E-4</v>
      </c>
      <c r="AV278">
        <v>6.8636000000000001E-4</v>
      </c>
      <c r="AW278">
        <v>3.4318E-4</v>
      </c>
      <c r="AX278">
        <v>1.7159E-4</v>
      </c>
      <c r="AY278">
        <v>6.8636000000000001E-4</v>
      </c>
      <c r="AZ278">
        <v>2.5737999999999998E-4</v>
      </c>
      <c r="BA278">
        <v>6.0055999999999998E-4</v>
      </c>
      <c r="BB278">
        <v>8.5790000000000004E-5</v>
      </c>
      <c r="BC278">
        <v>6.0055999999999998E-4</v>
      </c>
      <c r="BD278">
        <v>7.7214999999999998E-4</v>
      </c>
      <c r="BE278">
        <v>3.4318E-4</v>
      </c>
      <c r="BF278">
        <v>1.7159E-4</v>
      </c>
      <c r="BG278">
        <v>8.5790000000000004E-5</v>
      </c>
      <c r="BH278">
        <v>8.5790000000000004E-5</v>
      </c>
    </row>
    <row r="279" spans="1:62" x14ac:dyDescent="0.2">
      <c r="A279">
        <v>278</v>
      </c>
      <c r="B279" t="s">
        <v>466</v>
      </c>
      <c r="C279" t="s">
        <v>467</v>
      </c>
      <c r="D279" t="s">
        <v>468</v>
      </c>
      <c r="E279" t="s">
        <v>449</v>
      </c>
      <c r="F279" t="s">
        <v>450</v>
      </c>
      <c r="G279" t="s">
        <v>484</v>
      </c>
      <c r="H279">
        <v>6.9720119999999997E-3</v>
      </c>
      <c r="I279" s="1">
        <v>2.3504300000000001E-5</v>
      </c>
      <c r="J279">
        <f t="shared" si="8"/>
        <v>0.69536933503066278</v>
      </c>
      <c r="K279">
        <f t="shared" si="9"/>
        <v>0.57090799174146356</v>
      </c>
      <c r="L279">
        <v>10</v>
      </c>
      <c r="M279" t="s">
        <v>154</v>
      </c>
      <c r="AD279">
        <v>7.7466799999999997E-3</v>
      </c>
      <c r="AE279">
        <v>3.8733399999999999E-3</v>
      </c>
      <c r="AG279">
        <v>3.8733399999999999E-3</v>
      </c>
      <c r="AH279">
        <v>3.8733399999999999E-3</v>
      </c>
      <c r="AK279">
        <v>1.9366699999999999E-3</v>
      </c>
      <c r="AL279">
        <v>5.81001E-3</v>
      </c>
      <c r="AM279">
        <v>3.8733399999999999E-3</v>
      </c>
      <c r="AN279">
        <v>1.5493359999999999E-2</v>
      </c>
      <c r="AP279">
        <v>7.7466799999999997E-3</v>
      </c>
      <c r="AQ279">
        <v>1.5493359999999999E-2</v>
      </c>
    </row>
    <row r="280" spans="1:62" x14ac:dyDescent="0.2">
      <c r="A280">
        <v>279</v>
      </c>
      <c r="B280" t="s">
        <v>466</v>
      </c>
      <c r="C280" t="s">
        <v>467</v>
      </c>
      <c r="D280" t="s">
        <v>468</v>
      </c>
      <c r="E280" t="s">
        <v>449</v>
      </c>
      <c r="F280" t="s">
        <v>450</v>
      </c>
      <c r="G280" t="s">
        <v>493</v>
      </c>
      <c r="H280">
        <v>1.432972E-3</v>
      </c>
      <c r="I280" s="1">
        <v>2.9057500000000001E-6</v>
      </c>
      <c r="J280">
        <f t="shared" si="8"/>
        <v>1.1895738777172653</v>
      </c>
      <c r="K280">
        <f t="shared" si="9"/>
        <v>0.76546461184944015</v>
      </c>
      <c r="L280">
        <v>32</v>
      </c>
      <c r="M280" t="s">
        <v>154</v>
      </c>
      <c r="O280">
        <v>2.5474999999999999E-4</v>
      </c>
      <c r="R280">
        <v>6.3688000000000004E-4</v>
      </c>
      <c r="S280">
        <v>6.3688000000000004E-4</v>
      </c>
      <c r="Y280">
        <v>1.2737999999999999E-4</v>
      </c>
      <c r="Z280">
        <v>7.6424999999999996E-4</v>
      </c>
      <c r="AA280">
        <v>2.5474999999999999E-4</v>
      </c>
      <c r="AB280">
        <v>2.0380099999999998E-3</v>
      </c>
      <c r="AK280">
        <v>3.8213E-4</v>
      </c>
      <c r="AL280">
        <v>4.5855100000000001E-3</v>
      </c>
      <c r="AM280">
        <v>1.5284999999999999E-3</v>
      </c>
      <c r="AN280">
        <v>3.5665100000000002E-3</v>
      </c>
      <c r="AO280">
        <v>1.2737999999999999E-4</v>
      </c>
      <c r="AP280">
        <v>8.6615200000000007E-3</v>
      </c>
      <c r="AQ280">
        <v>2.5474999999999999E-4</v>
      </c>
      <c r="AS280">
        <v>1.5284999999999999E-3</v>
      </c>
      <c r="AT280">
        <v>1.2737499999999999E-3</v>
      </c>
      <c r="AU280">
        <v>1.0189999999999999E-3</v>
      </c>
      <c r="AV280">
        <v>1.5284999999999999E-3</v>
      </c>
      <c r="AW280">
        <v>1.0189999999999999E-3</v>
      </c>
      <c r="AX280">
        <v>4.0760099999999997E-3</v>
      </c>
      <c r="AY280">
        <v>1.2737499999999999E-3</v>
      </c>
      <c r="AZ280">
        <v>6.3688000000000004E-4</v>
      </c>
      <c r="BA280">
        <v>1.2737499999999999E-3</v>
      </c>
      <c r="BB280">
        <v>1.0189999999999999E-3</v>
      </c>
      <c r="BC280">
        <v>1.7832499999999999E-3</v>
      </c>
      <c r="BD280">
        <v>2.5474999999999999E-4</v>
      </c>
      <c r="BE280">
        <v>3.8213E-4</v>
      </c>
      <c r="BF280">
        <v>1.0189999999999999E-3</v>
      </c>
      <c r="BG280">
        <v>1.40113E-3</v>
      </c>
      <c r="BH280">
        <v>3.8213E-4</v>
      </c>
      <c r="BI280">
        <v>1.40113E-3</v>
      </c>
      <c r="BJ280">
        <v>7.6424999999999996E-4</v>
      </c>
    </row>
    <row r="281" spans="1:62" x14ac:dyDescent="0.2">
      <c r="A281">
        <v>280</v>
      </c>
      <c r="B281" t="s">
        <v>466</v>
      </c>
      <c r="C281" t="s">
        <v>467</v>
      </c>
      <c r="D281" t="s">
        <v>468</v>
      </c>
      <c r="E281" t="s">
        <v>449</v>
      </c>
      <c r="F281" t="s">
        <v>450</v>
      </c>
      <c r="G281" t="s">
        <v>494</v>
      </c>
      <c r="H281">
        <v>4.8286650000000002E-3</v>
      </c>
      <c r="I281">
        <v>2.86874E-4</v>
      </c>
      <c r="J281">
        <f t="shared" si="8"/>
        <v>3.5076683028191873</v>
      </c>
      <c r="K281">
        <f t="shared" si="9"/>
        <v>0.96168245789718465</v>
      </c>
      <c r="L281">
        <v>43</v>
      </c>
      <c r="M281" t="s">
        <v>154</v>
      </c>
      <c r="O281">
        <v>2.6861000000000002E-4</v>
      </c>
      <c r="P281">
        <v>8.954E-5</v>
      </c>
      <c r="R281">
        <v>7.1628000000000002E-4</v>
      </c>
      <c r="S281">
        <v>1.7907E-4</v>
      </c>
      <c r="T281">
        <v>5.3720999999999999E-4</v>
      </c>
      <c r="U281">
        <v>7.1628000000000002E-4</v>
      </c>
      <c r="V281">
        <v>2.5069900000000002E-3</v>
      </c>
      <c r="W281">
        <v>2.5069900000000002E-3</v>
      </c>
      <c r="X281">
        <v>1.96978E-3</v>
      </c>
      <c r="Y281">
        <v>1.79071E-3</v>
      </c>
      <c r="Z281">
        <v>5.5511900000000001E-3</v>
      </c>
      <c r="AA281">
        <v>0.11174017</v>
      </c>
      <c r="AB281">
        <v>1.522102E-2</v>
      </c>
      <c r="AC281">
        <v>8.9535000000000005E-4</v>
      </c>
      <c r="AD281">
        <v>1.5221E-3</v>
      </c>
      <c r="AE281">
        <v>1.056518E-2</v>
      </c>
      <c r="AF281">
        <v>2.3279199999999998E-3</v>
      </c>
      <c r="AG281">
        <v>1.34303E-3</v>
      </c>
      <c r="AH281">
        <v>4.4767699999999997E-3</v>
      </c>
      <c r="AI281">
        <v>5.1930500000000003E-3</v>
      </c>
      <c r="AJ281">
        <v>3.2232699999999999E-3</v>
      </c>
      <c r="AK281">
        <v>1.43257E-3</v>
      </c>
      <c r="AL281">
        <v>3.76049E-3</v>
      </c>
      <c r="AM281">
        <v>3.0441999999999999E-3</v>
      </c>
      <c r="AN281">
        <v>1.6116399999999999E-3</v>
      </c>
      <c r="AO281">
        <v>1.2535000000000001E-3</v>
      </c>
      <c r="AP281">
        <v>4.4767699999999997E-3</v>
      </c>
      <c r="AQ281">
        <v>4.6558399999999996E-3</v>
      </c>
      <c r="AR281">
        <v>1.79071E-3</v>
      </c>
      <c r="AS281">
        <v>4.6558399999999996E-3</v>
      </c>
      <c r="AT281">
        <v>1.07442E-3</v>
      </c>
      <c r="AU281">
        <v>8.9535000000000005E-4</v>
      </c>
      <c r="AV281">
        <v>7.1628000000000002E-4</v>
      </c>
      <c r="AW281">
        <v>8.9535000000000005E-4</v>
      </c>
      <c r="AX281">
        <v>1.2535000000000001E-3</v>
      </c>
      <c r="AZ281">
        <v>1.7907E-4</v>
      </c>
      <c r="BA281">
        <v>8.0581999999999995E-4</v>
      </c>
      <c r="BB281">
        <v>2.6861000000000002E-4</v>
      </c>
      <c r="BC281">
        <v>2.6861000000000002E-4</v>
      </c>
      <c r="BE281">
        <v>5.3720999999999999E-4</v>
      </c>
      <c r="BG281">
        <v>8.954E-5</v>
      </c>
      <c r="BH281">
        <v>8.954E-5</v>
      </c>
      <c r="BJ281">
        <v>5.3720999999999999E-4</v>
      </c>
    </row>
    <row r="282" spans="1:62" x14ac:dyDescent="0.2">
      <c r="A282">
        <v>281</v>
      </c>
      <c r="B282" t="s">
        <v>466</v>
      </c>
      <c r="C282" t="s">
        <v>467</v>
      </c>
      <c r="D282" t="s">
        <v>468</v>
      </c>
      <c r="E282" t="s">
        <v>449</v>
      </c>
      <c r="F282" t="s">
        <v>450</v>
      </c>
      <c r="G282" t="s">
        <v>494</v>
      </c>
      <c r="H282">
        <v>1.9882134999999999E-2</v>
      </c>
      <c r="I282">
        <v>8.5629900000000004E-4</v>
      </c>
      <c r="J282">
        <f t="shared" si="8"/>
        <v>1.4718030551208661</v>
      </c>
      <c r="K282">
        <f t="shared" si="9"/>
        <v>0.82714231201052291</v>
      </c>
      <c r="L282">
        <v>44</v>
      </c>
      <c r="M282" t="s">
        <v>154</v>
      </c>
      <c r="N282">
        <v>1.6443899999999999E-3</v>
      </c>
      <c r="O282">
        <v>8.2218999999999999E-4</v>
      </c>
      <c r="R282">
        <v>3.2887699999999999E-3</v>
      </c>
      <c r="S282">
        <v>8.2218999999999999E-4</v>
      </c>
      <c r="T282">
        <v>4.1109700000000002E-3</v>
      </c>
      <c r="U282">
        <v>6.5775499999999997E-3</v>
      </c>
      <c r="V282">
        <v>3.4532130000000001E-2</v>
      </c>
      <c r="W282">
        <v>1.397729E-2</v>
      </c>
      <c r="X282">
        <v>6.5775499999999997E-3</v>
      </c>
      <c r="Y282">
        <v>2.795458E-2</v>
      </c>
      <c r="Z282">
        <v>1.151071E-2</v>
      </c>
      <c r="AA282">
        <v>0.13648413000000001</v>
      </c>
      <c r="AB282">
        <v>1.6443899999999999E-3</v>
      </c>
      <c r="AC282">
        <v>1.8088259999999998E-2</v>
      </c>
      <c r="AD282">
        <v>8.2218999999999999E-4</v>
      </c>
      <c r="AE282">
        <v>4.9331599999999998E-3</v>
      </c>
      <c r="AF282">
        <v>1.726606E-2</v>
      </c>
      <c r="AG282">
        <v>5.8375740000000002E-2</v>
      </c>
      <c r="AH282">
        <v>0.1151071</v>
      </c>
      <c r="AI282">
        <v>2.466581E-2</v>
      </c>
      <c r="AJ282">
        <v>5.0976E-2</v>
      </c>
      <c r="AK282">
        <v>8.4685940000000001E-2</v>
      </c>
      <c r="AL282">
        <v>1.6443869999999999E-2</v>
      </c>
      <c r="AM282">
        <v>3.3709940000000001E-2</v>
      </c>
      <c r="AN282">
        <v>1.3155099999999999E-2</v>
      </c>
      <c r="AO282">
        <v>1.151071E-2</v>
      </c>
      <c r="AP282">
        <v>1.6443869999999999E-2</v>
      </c>
      <c r="AQ282">
        <v>9.8663199999999996E-3</v>
      </c>
      <c r="AR282">
        <v>3.2887699999999999E-3</v>
      </c>
      <c r="AS282">
        <v>4.9331599999999998E-3</v>
      </c>
      <c r="AT282">
        <v>4.4398449999999999E-2</v>
      </c>
      <c r="AU282">
        <v>1.9732650000000001E-2</v>
      </c>
      <c r="AV282">
        <v>3.2887699999999999E-3</v>
      </c>
      <c r="AW282">
        <v>2.3021420000000001E-2</v>
      </c>
      <c r="AX282">
        <v>4.9331599999999998E-3</v>
      </c>
      <c r="AY282">
        <v>8.2219400000000005E-3</v>
      </c>
      <c r="AZ282">
        <v>8.2219400000000005E-3</v>
      </c>
      <c r="BA282">
        <v>3.2887699999999999E-3</v>
      </c>
      <c r="BC282">
        <v>2.4665799999999999E-3</v>
      </c>
      <c r="BD282">
        <v>2.4665799999999999E-3</v>
      </c>
      <c r="BE282">
        <v>8.2218999999999999E-4</v>
      </c>
      <c r="BF282">
        <v>1.6443869999999999E-2</v>
      </c>
      <c r="BH282">
        <v>8.2218999999999999E-4</v>
      </c>
      <c r="BI282">
        <v>2.4665799999999999E-3</v>
      </c>
    </row>
    <row r="283" spans="1:62" x14ac:dyDescent="0.2">
      <c r="A283">
        <v>282</v>
      </c>
      <c r="B283" t="s">
        <v>466</v>
      </c>
      <c r="C283" t="s">
        <v>467</v>
      </c>
      <c r="D283" t="s">
        <v>468</v>
      </c>
      <c r="E283" t="s">
        <v>449</v>
      </c>
      <c r="F283" t="s">
        <v>450</v>
      </c>
      <c r="G283" t="s">
        <v>495</v>
      </c>
      <c r="H283">
        <v>2.2163722E-2</v>
      </c>
      <c r="I283">
        <v>5.3145099999999995E-4</v>
      </c>
      <c r="J283">
        <f t="shared" si="8"/>
        <v>1.0401331072948437</v>
      </c>
      <c r="K283">
        <f t="shared" si="9"/>
        <v>0.72087738111237543</v>
      </c>
      <c r="L283">
        <v>49</v>
      </c>
      <c r="M283" t="s">
        <v>154</v>
      </c>
      <c r="N283">
        <v>3.5024399999999999E-3</v>
      </c>
      <c r="O283">
        <v>3.2408099999999998E-3</v>
      </c>
      <c r="P283">
        <v>2.1605399999999999E-3</v>
      </c>
      <c r="Q283">
        <v>4.48987E-3</v>
      </c>
      <c r="R283">
        <v>4.4223600000000002E-3</v>
      </c>
      <c r="S283">
        <v>3.78094E-3</v>
      </c>
      <c r="T283">
        <v>3.64591E-3</v>
      </c>
      <c r="U283">
        <v>2.4981199999999999E-3</v>
      </c>
      <c r="V283">
        <v>7.6294099999999997E-3</v>
      </c>
      <c r="W283">
        <v>7.1905500000000004E-3</v>
      </c>
      <c r="X283">
        <v>2.4306100000000001E-3</v>
      </c>
      <c r="Y283">
        <v>3.07202E-3</v>
      </c>
      <c r="Z283">
        <v>3.2408099999999998E-3</v>
      </c>
      <c r="AA283">
        <v>2.0255059999999998E-2</v>
      </c>
      <c r="AB283">
        <v>1.566391E-2</v>
      </c>
      <c r="AC283">
        <v>3.3960990000000003E-2</v>
      </c>
      <c r="AD283">
        <v>6.6841699999999997E-3</v>
      </c>
      <c r="AE283">
        <v>2.2879779999999999E-2</v>
      </c>
      <c r="AF283">
        <v>1.5409040000000001E-2</v>
      </c>
      <c r="AG283">
        <v>1.9144410000000001E-2</v>
      </c>
      <c r="AH283">
        <v>1.2139530000000001E-2</v>
      </c>
      <c r="AI283">
        <v>7.9669900000000002E-3</v>
      </c>
      <c r="AJ283">
        <v>5.8832509999999998E-2</v>
      </c>
      <c r="AK283">
        <v>2.9882969999999998E-2</v>
      </c>
      <c r="AL283">
        <v>3.0350519999999999E-2</v>
      </c>
      <c r="AM283">
        <v>1.0272689999999999E-2</v>
      </c>
      <c r="AN283">
        <v>3.5019309999999998E-2</v>
      </c>
      <c r="AO283">
        <v>1.0272689999999999E-2</v>
      </c>
      <c r="AP283">
        <v>4.3891029999999998E-2</v>
      </c>
      <c r="AQ283">
        <v>2.61476E-2</v>
      </c>
      <c r="AR283">
        <v>2.6615150000000001E-2</v>
      </c>
      <c r="AS283">
        <v>1.0738559999999999E-2</v>
      </c>
      <c r="AT283">
        <v>2.9882969999999998E-2</v>
      </c>
      <c r="AU283">
        <v>4.4356899999999998E-2</v>
      </c>
      <c r="AV283">
        <v>2.2412229999999998E-2</v>
      </c>
      <c r="AW283">
        <v>3.5486869999999997E-2</v>
      </c>
      <c r="AX283">
        <v>5.5563010000000003E-2</v>
      </c>
      <c r="AY283">
        <v>8.4980109999999998E-2</v>
      </c>
      <c r="AZ283">
        <v>2.9415409999999999E-2</v>
      </c>
      <c r="BA283">
        <v>0.12653506</v>
      </c>
      <c r="BB283">
        <v>4.6225429999999998E-2</v>
      </c>
      <c r="BC283">
        <v>2.0545379999999999E-2</v>
      </c>
      <c r="BD283">
        <v>1.2139530000000001E-2</v>
      </c>
      <c r="BE283">
        <v>1.7743430000000001E-2</v>
      </c>
      <c r="BF283">
        <v>1.5874900000000001E-2</v>
      </c>
      <c r="BG283">
        <v>1.8209300000000001E-2</v>
      </c>
      <c r="BH283">
        <v>7.0031900000000003E-3</v>
      </c>
      <c r="BI283">
        <v>1.9610280000000001E-2</v>
      </c>
      <c r="BJ283">
        <v>1.260709E-2</v>
      </c>
    </row>
    <row r="284" spans="1:62" x14ac:dyDescent="0.2">
      <c r="A284">
        <v>283</v>
      </c>
      <c r="B284" t="s">
        <v>466</v>
      </c>
      <c r="C284" t="s">
        <v>467</v>
      </c>
      <c r="D284" t="s">
        <v>468</v>
      </c>
      <c r="E284" t="s">
        <v>449</v>
      </c>
      <c r="F284" t="s">
        <v>450</v>
      </c>
      <c r="G284" t="s">
        <v>496</v>
      </c>
      <c r="H284">
        <v>0.27542907700000002</v>
      </c>
      <c r="I284">
        <v>9.3762820999999996E-2</v>
      </c>
      <c r="J284">
        <f t="shared" si="8"/>
        <v>1.111745924114852</v>
      </c>
      <c r="K284">
        <f t="shared" si="9"/>
        <v>0.74348410087178884</v>
      </c>
      <c r="L284">
        <v>13</v>
      </c>
      <c r="M284" t="s">
        <v>154</v>
      </c>
      <c r="AC284">
        <v>0.12346820999999999</v>
      </c>
      <c r="AF284">
        <v>0.12346820999999999</v>
      </c>
      <c r="AG284">
        <v>0.37040462000000002</v>
      </c>
      <c r="AH284">
        <v>6.17341E-2</v>
      </c>
      <c r="AI284">
        <v>0.24693641</v>
      </c>
      <c r="AJ284">
        <v>0.30867052</v>
      </c>
      <c r="AK284">
        <v>0.55560693000000005</v>
      </c>
      <c r="AL284">
        <v>0.24693641</v>
      </c>
      <c r="AN284">
        <v>1.1729479700000001</v>
      </c>
      <c r="AO284">
        <v>0.12346820999999999</v>
      </c>
      <c r="AP284">
        <v>6.17341E-2</v>
      </c>
      <c r="AX284">
        <v>0.12346820999999999</v>
      </c>
      <c r="BI284">
        <v>6.17341E-2</v>
      </c>
    </row>
    <row r="285" spans="1:62" x14ac:dyDescent="0.2">
      <c r="A285">
        <v>284</v>
      </c>
      <c r="B285" t="s">
        <v>466</v>
      </c>
      <c r="C285" t="s">
        <v>467</v>
      </c>
      <c r="D285" t="s">
        <v>468</v>
      </c>
      <c r="E285" t="s">
        <v>449</v>
      </c>
      <c r="F285" t="s">
        <v>450</v>
      </c>
      <c r="G285" t="s">
        <v>497</v>
      </c>
      <c r="H285">
        <v>2.3015048999999999E-2</v>
      </c>
      <c r="I285">
        <v>1.0166260000000001E-3</v>
      </c>
      <c r="J285">
        <f t="shared" si="8"/>
        <v>1.3853793260338265</v>
      </c>
      <c r="K285">
        <f t="shared" si="9"/>
        <v>0.8108324724270104</v>
      </c>
      <c r="L285">
        <v>15</v>
      </c>
      <c r="M285" t="s">
        <v>154</v>
      </c>
      <c r="AC285">
        <v>1.82901E-2</v>
      </c>
      <c r="AD285">
        <v>4.57253E-3</v>
      </c>
      <c r="AH285">
        <v>4.57253E-3</v>
      </c>
      <c r="AL285">
        <v>1.82901E-2</v>
      </c>
      <c r="AN285">
        <v>2.2862629999999998E-2</v>
      </c>
      <c r="AO285">
        <v>4.57253E-3</v>
      </c>
      <c r="AP285">
        <v>1.82901E-2</v>
      </c>
      <c r="AQ285">
        <v>1.371758E-2</v>
      </c>
      <c r="AS285">
        <v>4.57253E-3</v>
      </c>
      <c r="AT285">
        <v>1.371758E-2</v>
      </c>
      <c r="AW285">
        <v>9.1450519999999993E-2</v>
      </c>
      <c r="AY285">
        <v>0.10745436999999999</v>
      </c>
      <c r="AZ285">
        <v>1.6003839999999998E-2</v>
      </c>
      <c r="BC285">
        <v>4.57253E-3</v>
      </c>
      <c r="BD285">
        <v>2.28626E-3</v>
      </c>
    </row>
    <row r="286" spans="1:62" x14ac:dyDescent="0.2">
      <c r="A286">
        <v>285</v>
      </c>
      <c r="B286" t="s">
        <v>466</v>
      </c>
      <c r="C286" t="s">
        <v>467</v>
      </c>
      <c r="D286" t="s">
        <v>468</v>
      </c>
      <c r="E286" t="s">
        <v>449</v>
      </c>
      <c r="F286" t="s">
        <v>450</v>
      </c>
      <c r="G286" t="s">
        <v>498</v>
      </c>
      <c r="H286">
        <v>3.75399E-3</v>
      </c>
      <c r="I286" s="1">
        <v>6.2029899999999994E-5</v>
      </c>
      <c r="J286">
        <f t="shared" si="8"/>
        <v>2.0980093972161873</v>
      </c>
      <c r="K286">
        <f t="shared" si="9"/>
        <v>0.90270214176601593</v>
      </c>
      <c r="L286">
        <v>28</v>
      </c>
      <c r="M286" t="s">
        <v>154</v>
      </c>
      <c r="P286">
        <v>9.2330000000000005E-5</v>
      </c>
      <c r="Q286">
        <v>1.2311000000000001E-4</v>
      </c>
      <c r="T286">
        <v>9.2330000000000005E-5</v>
      </c>
      <c r="U286">
        <v>1.2311000000000001E-4</v>
      </c>
      <c r="W286">
        <v>9.2330000000000005E-5</v>
      </c>
      <c r="Y286">
        <v>3.078E-5</v>
      </c>
      <c r="Z286">
        <v>1.2311000000000001E-4</v>
      </c>
      <c r="AC286">
        <v>1.2311000000000001E-4</v>
      </c>
      <c r="AD286">
        <v>2.1545000000000001E-4</v>
      </c>
      <c r="AE286">
        <v>1.9582550000000001E-2</v>
      </c>
      <c r="AF286">
        <v>3.6610520000000001E-2</v>
      </c>
      <c r="AG286">
        <v>2.7700000000000001E-4</v>
      </c>
      <c r="AH286">
        <v>1.4048649999999999E-2</v>
      </c>
      <c r="AI286">
        <v>8.8025299999999994E-3</v>
      </c>
      <c r="AJ286">
        <v>1.2772899999999999E-3</v>
      </c>
      <c r="AK286">
        <v>1.70357E-3</v>
      </c>
      <c r="AL286">
        <v>2.9793200000000001E-3</v>
      </c>
      <c r="AM286">
        <v>2.5545799999999999E-3</v>
      </c>
      <c r="AO286">
        <v>1.2772899999999999E-3</v>
      </c>
      <c r="AQ286">
        <v>1.35424E-3</v>
      </c>
      <c r="AR286">
        <v>1.2772899999999999E-3</v>
      </c>
      <c r="AV286">
        <v>1.2772899999999999E-3</v>
      </c>
      <c r="AX286">
        <v>2.5545799999999999E-3</v>
      </c>
      <c r="AY286">
        <v>4.3089000000000002E-4</v>
      </c>
      <c r="BA286">
        <v>4.2628000000000002E-4</v>
      </c>
      <c r="BB286">
        <v>8.5101000000000003E-4</v>
      </c>
      <c r="BC286">
        <v>5.9601699999999999E-3</v>
      </c>
      <c r="BD286">
        <v>8.5101000000000003E-4</v>
      </c>
    </row>
    <row r="287" spans="1:62" x14ac:dyDescent="0.2">
      <c r="A287">
        <v>286</v>
      </c>
      <c r="B287" t="s">
        <v>466</v>
      </c>
      <c r="C287" t="s">
        <v>467</v>
      </c>
      <c r="D287" t="s">
        <v>468</v>
      </c>
      <c r="E287" t="s">
        <v>449</v>
      </c>
      <c r="F287" t="s">
        <v>450</v>
      </c>
      <c r="G287" t="s">
        <v>499</v>
      </c>
      <c r="H287">
        <v>6.3150039999999999E-3</v>
      </c>
      <c r="I287" s="1">
        <v>5.9295900000000003E-5</v>
      </c>
      <c r="J287">
        <f t="shared" si="8"/>
        <v>1.2193789754293927</v>
      </c>
      <c r="K287">
        <f t="shared" si="9"/>
        <v>0.77323382466115398</v>
      </c>
      <c r="L287">
        <v>35</v>
      </c>
      <c r="M287" t="s">
        <v>154</v>
      </c>
      <c r="O287">
        <v>2.9668000000000001E-4</v>
      </c>
      <c r="R287">
        <v>2.9668000000000001E-4</v>
      </c>
      <c r="S287">
        <v>5.9336000000000002E-4</v>
      </c>
      <c r="U287">
        <v>5.9336000000000002E-4</v>
      </c>
      <c r="V287">
        <v>5.9336000000000002E-4</v>
      </c>
      <c r="W287">
        <v>1.1867099999999999E-3</v>
      </c>
      <c r="X287">
        <v>1.48339E-3</v>
      </c>
      <c r="Y287">
        <v>1.1867099999999999E-3</v>
      </c>
      <c r="Z287">
        <v>2.9668000000000001E-4</v>
      </c>
      <c r="AA287">
        <v>4.1534900000000001E-3</v>
      </c>
      <c r="AB287">
        <v>2.96678E-3</v>
      </c>
      <c r="AC287">
        <v>4.7468500000000004E-3</v>
      </c>
      <c r="AD287">
        <v>2.3734199999999998E-3</v>
      </c>
      <c r="AE287">
        <v>1.7800679999999999E-2</v>
      </c>
      <c r="AF287">
        <v>5.93356E-3</v>
      </c>
      <c r="AG287">
        <v>1.7800699999999999E-3</v>
      </c>
      <c r="AH287">
        <v>1.068041E-2</v>
      </c>
      <c r="AI287">
        <v>1.839404E-2</v>
      </c>
      <c r="AJ287">
        <v>5.3401999999999998E-3</v>
      </c>
      <c r="AK287">
        <v>1.1867099999999999E-3</v>
      </c>
      <c r="AL287">
        <v>1.2460479999999999E-2</v>
      </c>
      <c r="AM287">
        <v>4.4501699999999998E-3</v>
      </c>
      <c r="AN287">
        <v>6.5269200000000003E-3</v>
      </c>
      <c r="AO287">
        <v>4.1534900000000001E-3</v>
      </c>
      <c r="AP287">
        <v>1.839404E-2</v>
      </c>
      <c r="AQ287">
        <v>1.4833900000000001E-2</v>
      </c>
      <c r="AR287">
        <v>3.5007999999999997E-2</v>
      </c>
      <c r="AS287">
        <v>1.7207320000000002E-2</v>
      </c>
      <c r="AT287">
        <v>1.186712E-2</v>
      </c>
      <c r="AU287">
        <v>3.5601399999999998E-3</v>
      </c>
      <c r="AV287">
        <v>5.93356E-3</v>
      </c>
      <c r="AW287">
        <v>2.96678E-3</v>
      </c>
      <c r="AX287">
        <v>5.9336000000000002E-4</v>
      </c>
      <c r="BA287">
        <v>8.9002999999999999E-4</v>
      </c>
      <c r="BG287">
        <v>2.9668000000000001E-4</v>
      </c>
    </row>
    <row r="288" spans="1:62" x14ac:dyDescent="0.2">
      <c r="A288">
        <v>287</v>
      </c>
      <c r="B288" t="s">
        <v>466</v>
      </c>
      <c r="C288" t="s">
        <v>467</v>
      </c>
      <c r="D288" t="s">
        <v>468</v>
      </c>
      <c r="E288" t="s">
        <v>449</v>
      </c>
      <c r="F288" t="s">
        <v>450</v>
      </c>
      <c r="G288" t="s">
        <v>500</v>
      </c>
      <c r="H288">
        <v>3.6847451000000003E-2</v>
      </c>
      <c r="I288">
        <v>3.877068E-3</v>
      </c>
      <c r="J288">
        <f t="shared" si="8"/>
        <v>1.6898348368815044</v>
      </c>
      <c r="K288">
        <f t="shared" si="9"/>
        <v>0.86060041761297024</v>
      </c>
      <c r="L288">
        <v>17</v>
      </c>
      <c r="M288" t="s">
        <v>154</v>
      </c>
      <c r="AK288">
        <v>8.0119999999999999E-5</v>
      </c>
      <c r="AL288">
        <v>9.1495350000000003E-2</v>
      </c>
      <c r="AN288">
        <v>8.0119000000000002E-4</v>
      </c>
      <c r="AO288">
        <v>2.4036000000000001E-4</v>
      </c>
      <c r="AP288">
        <v>2.339461E-2</v>
      </c>
      <c r="AQ288">
        <v>0.22606241999999999</v>
      </c>
      <c r="AR288">
        <v>0.13851690999999999</v>
      </c>
      <c r="AS288">
        <v>6.7299559999999994E-2</v>
      </c>
      <c r="AT288">
        <v>2.4195789999999998E-2</v>
      </c>
      <c r="AU288">
        <v>5.4480600000000002E-3</v>
      </c>
      <c r="AV288">
        <v>1.442133E-2</v>
      </c>
      <c r="AW288">
        <v>1.6023699999999998E-2</v>
      </c>
      <c r="AX288">
        <v>1.7145359999999998E-2</v>
      </c>
      <c r="AY288">
        <v>9.6142000000000005E-4</v>
      </c>
      <c r="AZ288">
        <v>1.6024E-4</v>
      </c>
      <c r="BA288">
        <v>8.0119999999999999E-5</v>
      </c>
      <c r="BG288">
        <v>8.0119999999999999E-5</v>
      </c>
    </row>
    <row r="289" spans="1:62" x14ac:dyDescent="0.2">
      <c r="A289">
        <v>288</v>
      </c>
      <c r="B289" t="s">
        <v>466</v>
      </c>
      <c r="C289" t="s">
        <v>467</v>
      </c>
      <c r="D289" t="s">
        <v>468</v>
      </c>
      <c r="E289" t="s">
        <v>449</v>
      </c>
      <c r="F289" t="s">
        <v>450</v>
      </c>
      <c r="G289" t="s">
        <v>501</v>
      </c>
      <c r="H289">
        <v>3.5898929999999998E-3</v>
      </c>
      <c r="I289" s="1">
        <v>2.4916799999999998E-5</v>
      </c>
      <c r="J289">
        <f t="shared" si="8"/>
        <v>1.3904796232693784</v>
      </c>
      <c r="K289">
        <f t="shared" si="9"/>
        <v>0.81185131617673367</v>
      </c>
      <c r="L289">
        <v>35</v>
      </c>
      <c r="M289" t="s">
        <v>154</v>
      </c>
      <c r="O289">
        <v>2.1625999999999999E-4</v>
      </c>
      <c r="R289">
        <v>4.9739500000000004E-3</v>
      </c>
      <c r="S289">
        <v>6.4877999999999995E-4</v>
      </c>
      <c r="T289">
        <v>6.4877999999999995E-4</v>
      </c>
      <c r="U289">
        <v>1.51381E-3</v>
      </c>
      <c r="V289">
        <v>8.6503000000000003E-4</v>
      </c>
      <c r="W289">
        <v>1.94633E-3</v>
      </c>
      <c r="X289">
        <v>2.1625999999999999E-4</v>
      </c>
      <c r="Z289">
        <v>5.4064600000000001E-3</v>
      </c>
      <c r="AB289">
        <v>2.5518510000000001E-2</v>
      </c>
      <c r="AC289">
        <v>3.46014E-3</v>
      </c>
      <c r="AD289">
        <v>8.0015699999999995E-3</v>
      </c>
      <c r="AE289">
        <v>1.6868169999999998E-2</v>
      </c>
      <c r="AF289">
        <v>6.7040199999999998E-3</v>
      </c>
      <c r="AG289">
        <v>1.73007E-3</v>
      </c>
      <c r="AH289">
        <v>3.46014E-3</v>
      </c>
      <c r="AI289">
        <v>4.7576900000000002E-3</v>
      </c>
      <c r="AJ289">
        <v>4.3251699999999997E-3</v>
      </c>
      <c r="AK289">
        <v>3.02762E-3</v>
      </c>
      <c r="AL289">
        <v>3.46014E-3</v>
      </c>
      <c r="AM289">
        <v>2.1625899999999998E-3</v>
      </c>
      <c r="AN289">
        <v>2.5950999999999999E-3</v>
      </c>
      <c r="AP289">
        <v>6.9202700000000001E-3</v>
      </c>
      <c r="AQ289">
        <v>4.3251999999999999E-4</v>
      </c>
      <c r="AW289">
        <v>4.3251999999999999E-4</v>
      </c>
      <c r="AX289">
        <v>1.29755E-3</v>
      </c>
      <c r="AY289">
        <v>1.73007E-3</v>
      </c>
      <c r="AZ289">
        <v>6.4877999999999995E-4</v>
      </c>
      <c r="BA289">
        <v>5.4064600000000001E-3</v>
      </c>
      <c r="BB289">
        <v>4.3251999999999999E-4</v>
      </c>
      <c r="BC289">
        <v>1.51381E-3</v>
      </c>
      <c r="BD289">
        <v>1.94633E-3</v>
      </c>
      <c r="BF289">
        <v>4.3251999999999999E-4</v>
      </c>
      <c r="BI289">
        <v>1.0812899999999999E-3</v>
      </c>
      <c r="BJ289">
        <v>8.6503000000000003E-4</v>
      </c>
    </row>
    <row r="290" spans="1:62" x14ac:dyDescent="0.2">
      <c r="A290">
        <v>289</v>
      </c>
      <c r="B290" t="s">
        <v>466</v>
      </c>
      <c r="C290" t="s">
        <v>467</v>
      </c>
      <c r="D290" t="s">
        <v>468</v>
      </c>
      <c r="E290" t="s">
        <v>449</v>
      </c>
      <c r="F290" t="s">
        <v>450</v>
      </c>
      <c r="G290" t="s">
        <v>502</v>
      </c>
      <c r="H290">
        <v>3.424337E-3</v>
      </c>
      <c r="I290" s="1">
        <v>3.17131E-5</v>
      </c>
      <c r="J290">
        <f t="shared" si="8"/>
        <v>1.6445339747093748</v>
      </c>
      <c r="K290">
        <f t="shared" si="9"/>
        <v>0.85443399635795036</v>
      </c>
      <c r="L290">
        <v>16</v>
      </c>
      <c r="M290" t="s">
        <v>154</v>
      </c>
      <c r="Y290">
        <v>2.2272099999999999E-3</v>
      </c>
      <c r="AA290">
        <v>2.4053890000000001E-2</v>
      </c>
      <c r="AH290">
        <v>2.6726499999999999E-3</v>
      </c>
      <c r="AL290">
        <v>1.78177E-3</v>
      </c>
      <c r="AQ290">
        <v>8.9088000000000004E-4</v>
      </c>
      <c r="AR290">
        <v>1.78177E-3</v>
      </c>
      <c r="AX290">
        <v>3.56354E-3</v>
      </c>
      <c r="AY290">
        <v>1.78177E-3</v>
      </c>
      <c r="AZ290">
        <v>2.2272099999999999E-3</v>
      </c>
      <c r="BA290">
        <v>4.4544199999999997E-3</v>
      </c>
      <c r="BB290">
        <v>4.0089799999999997E-3</v>
      </c>
      <c r="BE290">
        <v>4.4544000000000002E-4</v>
      </c>
      <c r="BF290">
        <v>2.2272099999999999E-3</v>
      </c>
      <c r="BG290">
        <v>1.78177E-3</v>
      </c>
      <c r="BH290">
        <v>4.4544000000000002E-4</v>
      </c>
      <c r="BI290">
        <v>4.4544000000000002E-4</v>
      </c>
    </row>
    <row r="291" spans="1:62" x14ac:dyDescent="0.2">
      <c r="A291">
        <v>290</v>
      </c>
      <c r="B291" t="s">
        <v>466</v>
      </c>
      <c r="C291" t="s">
        <v>467</v>
      </c>
      <c r="D291" t="s">
        <v>468</v>
      </c>
      <c r="E291" t="s">
        <v>449</v>
      </c>
      <c r="F291" t="s">
        <v>450</v>
      </c>
      <c r="G291" t="s">
        <v>503</v>
      </c>
      <c r="H291">
        <v>4.9536570000000002E-3</v>
      </c>
      <c r="I291" s="1">
        <v>2.8579299999999999E-5</v>
      </c>
      <c r="J291">
        <f t="shared" si="8"/>
        <v>1.0791948437818673</v>
      </c>
      <c r="K291">
        <f t="shared" si="9"/>
        <v>0.73350801564618417</v>
      </c>
      <c r="L291">
        <v>23</v>
      </c>
      <c r="M291" t="s">
        <v>154</v>
      </c>
      <c r="AD291">
        <v>2.9648299999999999E-3</v>
      </c>
      <c r="AE291">
        <v>8.4709399999999997E-3</v>
      </c>
      <c r="AF291">
        <v>4.2354699999999999E-3</v>
      </c>
      <c r="AG291">
        <v>1.6941899999999999E-3</v>
      </c>
      <c r="AH291">
        <v>1.7788970000000001E-2</v>
      </c>
      <c r="AI291">
        <v>5.9296599999999998E-3</v>
      </c>
      <c r="AJ291">
        <v>9.3180299999999997E-3</v>
      </c>
      <c r="AK291">
        <v>2.5412799999999999E-3</v>
      </c>
      <c r="AR291">
        <v>1.440059E-2</v>
      </c>
      <c r="AS291">
        <v>1.8636059999999999E-2</v>
      </c>
      <c r="AT291">
        <v>4.2354699999999999E-3</v>
      </c>
      <c r="AU291">
        <v>5.0825599999999999E-3</v>
      </c>
      <c r="AV291">
        <v>8.4709E-4</v>
      </c>
      <c r="AW291">
        <v>2.5412799999999999E-3</v>
      </c>
      <c r="AX291">
        <v>4.2354699999999999E-3</v>
      </c>
      <c r="AY291">
        <v>3.8119199999999999E-3</v>
      </c>
      <c r="AZ291">
        <v>1.27064E-3</v>
      </c>
      <c r="BA291">
        <v>1.27064E-3</v>
      </c>
      <c r="BB291">
        <v>1.27064E-3</v>
      </c>
      <c r="BC291">
        <v>4.2355000000000002E-4</v>
      </c>
      <c r="BE291">
        <v>8.4709E-4</v>
      </c>
      <c r="BI291">
        <v>4.2355000000000002E-4</v>
      </c>
      <c r="BJ291">
        <v>1.6941899999999999E-3</v>
      </c>
    </row>
    <row r="292" spans="1:62" x14ac:dyDescent="0.2">
      <c r="A292">
        <v>291</v>
      </c>
      <c r="B292" t="s">
        <v>466</v>
      </c>
      <c r="C292" t="s">
        <v>467</v>
      </c>
      <c r="D292" t="s">
        <v>468</v>
      </c>
      <c r="E292" t="s">
        <v>449</v>
      </c>
      <c r="F292" t="s">
        <v>450</v>
      </c>
      <c r="G292" t="s">
        <v>504</v>
      </c>
      <c r="H292">
        <v>6.9930399999999998E-3</v>
      </c>
      <c r="I292" s="1">
        <v>3.9699600000000002E-5</v>
      </c>
      <c r="J292">
        <f t="shared" si="8"/>
        <v>0.90100469305139641</v>
      </c>
      <c r="K292">
        <f t="shared" si="9"/>
        <v>0.66937700958660751</v>
      </c>
      <c r="L292">
        <v>13</v>
      </c>
      <c r="M292" t="s">
        <v>154</v>
      </c>
      <c r="AA292">
        <v>6.4935399999999999E-3</v>
      </c>
      <c r="AD292">
        <v>1.9480609999999999E-2</v>
      </c>
      <c r="AE292">
        <v>1.298707E-2</v>
      </c>
      <c r="AF292">
        <v>6.4935399999999999E-3</v>
      </c>
      <c r="AH292">
        <v>3.24677E-3</v>
      </c>
      <c r="AJ292">
        <v>3.24677E-3</v>
      </c>
      <c r="AL292">
        <v>6.4935399999999999E-3</v>
      </c>
      <c r="AO292">
        <v>1.62338E-3</v>
      </c>
      <c r="AP292">
        <v>3.24677E-3</v>
      </c>
      <c r="AQ292">
        <v>1.9480609999999999E-2</v>
      </c>
      <c r="AR292">
        <v>3.24677E-3</v>
      </c>
      <c r="AS292">
        <v>3.24677E-3</v>
      </c>
      <c r="BI292">
        <v>1.62338E-3</v>
      </c>
    </row>
    <row r="293" spans="1:62" x14ac:dyDescent="0.2">
      <c r="A293">
        <v>292</v>
      </c>
      <c r="B293" t="s">
        <v>466</v>
      </c>
      <c r="C293" t="s">
        <v>467</v>
      </c>
      <c r="D293" t="s">
        <v>468</v>
      </c>
      <c r="E293" t="s">
        <v>449</v>
      </c>
      <c r="F293" t="s">
        <v>450</v>
      </c>
      <c r="G293" t="s">
        <v>505</v>
      </c>
      <c r="H293">
        <v>3.6606609999999999E-3</v>
      </c>
      <c r="I293" s="1">
        <v>3.6178299999999999E-6</v>
      </c>
      <c r="J293">
        <f t="shared" si="8"/>
        <v>0.51959452410870699</v>
      </c>
      <c r="K293">
        <f t="shared" si="9"/>
        <v>0.46106949153437721</v>
      </c>
      <c r="L293">
        <v>11</v>
      </c>
      <c r="M293" t="s">
        <v>154</v>
      </c>
      <c r="Z293">
        <v>1.0882999999999999E-3</v>
      </c>
      <c r="AA293">
        <v>4.3532199999999997E-3</v>
      </c>
      <c r="AC293">
        <v>4.3532199999999997E-3</v>
      </c>
      <c r="AD293">
        <v>2.1766099999999998E-3</v>
      </c>
      <c r="AG293">
        <v>3.2649100000000002E-3</v>
      </c>
      <c r="AH293">
        <v>6.5298300000000004E-3</v>
      </c>
      <c r="AK293">
        <v>4.3532199999999997E-3</v>
      </c>
      <c r="AP293">
        <v>6.5298300000000004E-3</v>
      </c>
      <c r="AU293">
        <v>1.0882999999999999E-3</v>
      </c>
      <c r="AV293">
        <v>2.1766099999999998E-3</v>
      </c>
      <c r="AX293">
        <v>4.3532199999999997E-3</v>
      </c>
    </row>
    <row r="294" spans="1:62" x14ac:dyDescent="0.2">
      <c r="A294">
        <v>293</v>
      </c>
      <c r="B294" t="s">
        <v>466</v>
      </c>
      <c r="C294" t="s">
        <v>467</v>
      </c>
      <c r="D294" t="s">
        <v>468</v>
      </c>
      <c r="E294" t="s">
        <v>449</v>
      </c>
      <c r="F294" t="s">
        <v>450</v>
      </c>
      <c r="G294" t="s">
        <v>506</v>
      </c>
      <c r="H294">
        <v>7.7715700000000002E-3</v>
      </c>
      <c r="I294">
        <v>1.4236399999999999E-4</v>
      </c>
      <c r="J294">
        <f t="shared" si="8"/>
        <v>1.5352932050238759</v>
      </c>
      <c r="K294">
        <f t="shared" si="9"/>
        <v>0.83792964808360726</v>
      </c>
      <c r="L294">
        <v>18</v>
      </c>
      <c r="M294" t="s">
        <v>154</v>
      </c>
      <c r="AH294">
        <v>1.0210820000000001E-2</v>
      </c>
      <c r="AJ294">
        <v>1.0210799999999999E-3</v>
      </c>
      <c r="AK294">
        <v>1.53162E-3</v>
      </c>
      <c r="AM294">
        <v>2.0421599999999999E-3</v>
      </c>
      <c r="AN294">
        <v>4.9011949999999999E-2</v>
      </c>
      <c r="AO294">
        <v>1.53162E-3</v>
      </c>
      <c r="AQ294">
        <v>4.0843299999999997E-3</v>
      </c>
      <c r="AR294">
        <v>1.0210820000000001E-2</v>
      </c>
      <c r="AS294">
        <v>7.1475799999999997E-3</v>
      </c>
      <c r="AT294">
        <v>2.5527060000000001E-2</v>
      </c>
      <c r="AU294">
        <v>7.1475799999999997E-3</v>
      </c>
      <c r="AV294">
        <v>9.1897400000000001E-3</v>
      </c>
      <c r="AW294">
        <v>2.0421599999999999E-3</v>
      </c>
      <c r="AX294">
        <v>3.06325E-3</v>
      </c>
      <c r="AY294">
        <v>1.0210799999999999E-3</v>
      </c>
      <c r="BA294">
        <v>5.1053999999999997E-4</v>
      </c>
      <c r="BC294">
        <v>5.1053999999999997E-4</v>
      </c>
      <c r="BD294">
        <v>4.0843299999999997E-3</v>
      </c>
    </row>
    <row r="295" spans="1:62" x14ac:dyDescent="0.2">
      <c r="A295">
        <v>294</v>
      </c>
      <c r="B295" t="s">
        <v>466</v>
      </c>
      <c r="C295" t="s">
        <v>467</v>
      </c>
      <c r="D295" t="s">
        <v>468</v>
      </c>
      <c r="E295" t="s">
        <v>449</v>
      </c>
      <c r="F295" t="s">
        <v>450</v>
      </c>
      <c r="G295" t="s">
        <v>507</v>
      </c>
      <c r="H295">
        <v>2.5284280000000001E-3</v>
      </c>
      <c r="I295" s="1">
        <v>5.7920099999999996E-6</v>
      </c>
      <c r="J295">
        <f t="shared" si="8"/>
        <v>0.95184023852291333</v>
      </c>
      <c r="K295">
        <f t="shared" si="9"/>
        <v>0.68944976916262013</v>
      </c>
      <c r="L295">
        <v>21</v>
      </c>
      <c r="M295" t="s">
        <v>154</v>
      </c>
      <c r="N295">
        <v>5.0569000000000005E-4</v>
      </c>
      <c r="V295">
        <v>1.26421E-3</v>
      </c>
      <c r="W295">
        <v>1.0113699999999999E-3</v>
      </c>
      <c r="AD295">
        <v>6.3210699999999998E-3</v>
      </c>
      <c r="AE295">
        <v>8.0909699999999994E-3</v>
      </c>
      <c r="AM295">
        <v>7.5852999999999999E-4</v>
      </c>
      <c r="AO295">
        <v>1.0113699999999999E-3</v>
      </c>
      <c r="AP295">
        <v>1.0113699999999999E-3</v>
      </c>
      <c r="AR295">
        <v>6.06823E-3</v>
      </c>
      <c r="AS295">
        <v>4.5511700000000002E-3</v>
      </c>
      <c r="AT295">
        <v>5.5625400000000004E-3</v>
      </c>
      <c r="AU295">
        <v>5.0569000000000005E-4</v>
      </c>
      <c r="AV295">
        <v>4.0454799999999997E-3</v>
      </c>
      <c r="AW295">
        <v>3.03411E-3</v>
      </c>
      <c r="AY295">
        <v>1.0113699999999999E-3</v>
      </c>
      <c r="AZ295">
        <v>7.5852999999999999E-4</v>
      </c>
      <c r="BA295">
        <v>4.2983300000000004E-3</v>
      </c>
      <c r="BB295">
        <v>2.0227399999999999E-3</v>
      </c>
      <c r="BC295">
        <v>7.5852999999999999E-4</v>
      </c>
      <c r="BE295">
        <v>2.5284E-4</v>
      </c>
      <c r="BH295">
        <v>2.5284E-4</v>
      </c>
    </row>
    <row r="296" spans="1:62" x14ac:dyDescent="0.2">
      <c r="A296">
        <v>295</v>
      </c>
      <c r="B296" t="s">
        <v>466</v>
      </c>
      <c r="C296" t="s">
        <v>467</v>
      </c>
      <c r="D296" t="s">
        <v>468</v>
      </c>
      <c r="E296" t="s">
        <v>449</v>
      </c>
      <c r="F296" t="s">
        <v>450</v>
      </c>
      <c r="G296" t="s">
        <v>483</v>
      </c>
      <c r="H296">
        <v>1.1683722000000001E-2</v>
      </c>
      <c r="I296">
        <v>3.1931100000000002E-4</v>
      </c>
      <c r="J296">
        <f t="shared" si="8"/>
        <v>1.5294163372830909</v>
      </c>
      <c r="K296">
        <f t="shared" si="9"/>
        <v>0.83697036337663144</v>
      </c>
      <c r="L296">
        <v>34</v>
      </c>
      <c r="M296" t="s">
        <v>154</v>
      </c>
      <c r="N296">
        <v>7.0472999999999998E-4</v>
      </c>
      <c r="O296">
        <v>2.6426999999999999E-4</v>
      </c>
      <c r="P296">
        <v>4.405E-5</v>
      </c>
      <c r="Q296">
        <v>9.6900999999999997E-4</v>
      </c>
      <c r="R296">
        <v>5.2855000000000003E-4</v>
      </c>
      <c r="S296">
        <v>9.2495999999999995E-4</v>
      </c>
      <c r="T296">
        <v>2.6426999999999999E-4</v>
      </c>
      <c r="U296">
        <v>3.0832E-4</v>
      </c>
      <c r="V296">
        <v>4.4045999999999999E-4</v>
      </c>
      <c r="W296">
        <v>2.6426999999999999E-4</v>
      </c>
      <c r="X296">
        <v>1.3213999999999999E-4</v>
      </c>
      <c r="Y296">
        <v>7.0472999999999998E-4</v>
      </c>
      <c r="Z296">
        <v>1.3213999999999999E-4</v>
      </c>
      <c r="AL296">
        <v>6.1664E-4</v>
      </c>
      <c r="AQ296">
        <v>4.26363E-3</v>
      </c>
      <c r="AR296">
        <v>7.7520499999999999E-3</v>
      </c>
      <c r="AS296">
        <v>3.1069880000000001E-2</v>
      </c>
      <c r="AT296">
        <v>5.4220339999999999E-2</v>
      </c>
      <c r="AU296">
        <v>1.8276790000000001E-2</v>
      </c>
      <c r="AV296">
        <v>1.8884620000000001E-2</v>
      </c>
      <c r="AW296">
        <v>3.7161409999999999E-2</v>
      </c>
      <c r="AX296">
        <v>4.3252939999999997E-2</v>
      </c>
      <c r="AY296">
        <v>2.6196219999999999E-2</v>
      </c>
      <c r="AZ296">
        <v>1.3403129999999999E-2</v>
      </c>
      <c r="BA296">
        <v>7.6150720000000005E-2</v>
      </c>
      <c r="BB296">
        <v>1.523103E-2</v>
      </c>
      <c r="BC296">
        <v>9.1372899999999993E-3</v>
      </c>
      <c r="BD296">
        <v>7.3115999999999997E-3</v>
      </c>
      <c r="BE296">
        <v>1.8278999999999999E-3</v>
      </c>
      <c r="BF296">
        <v>1.8278999999999999E-3</v>
      </c>
      <c r="BG296">
        <v>4.8736600000000001E-3</v>
      </c>
      <c r="BH296">
        <v>5.4837000000000002E-3</v>
      </c>
      <c r="BI296">
        <v>1.218526E-2</v>
      </c>
      <c r="BJ296">
        <v>2.43793E-3</v>
      </c>
    </row>
    <row r="297" spans="1:62" x14ac:dyDescent="0.2">
      <c r="A297">
        <v>296</v>
      </c>
      <c r="B297" t="s">
        <v>466</v>
      </c>
      <c r="C297" t="s">
        <v>467</v>
      </c>
      <c r="D297" t="s">
        <v>468</v>
      </c>
      <c r="E297" t="s">
        <v>449</v>
      </c>
      <c r="F297" t="s">
        <v>450</v>
      </c>
      <c r="G297" t="s">
        <v>508</v>
      </c>
      <c r="H297">
        <v>0.115760798</v>
      </c>
      <c r="I297">
        <v>6.2626090999999995E-2</v>
      </c>
      <c r="J297">
        <f t="shared" si="8"/>
        <v>2.1618031255850347</v>
      </c>
      <c r="K297">
        <f t="shared" si="9"/>
        <v>0.90760047727887783</v>
      </c>
      <c r="L297">
        <v>44</v>
      </c>
      <c r="M297" t="s">
        <v>154</v>
      </c>
      <c r="N297">
        <v>3.2591E-4</v>
      </c>
      <c r="O297">
        <v>2.2813400000000002E-3</v>
      </c>
      <c r="P297">
        <v>1.6295299999999999E-3</v>
      </c>
      <c r="Q297">
        <v>9.7772000000000006E-4</v>
      </c>
      <c r="R297">
        <v>3.2591E-4</v>
      </c>
      <c r="S297">
        <v>3.2591E-4</v>
      </c>
      <c r="T297">
        <v>3.2591E-4</v>
      </c>
      <c r="U297">
        <v>9.7772000000000006E-4</v>
      </c>
      <c r="Z297">
        <v>6.5180999999999995E-4</v>
      </c>
      <c r="AA297">
        <v>2.346525E-2</v>
      </c>
      <c r="AB297">
        <v>4.0412379999999998E-2</v>
      </c>
      <c r="AC297">
        <v>5.0189570000000003E-2</v>
      </c>
      <c r="AD297">
        <v>1.955438E-2</v>
      </c>
      <c r="AE297">
        <v>1.6947130000000001E-2</v>
      </c>
      <c r="AF297">
        <v>3.9108749999999998E-2</v>
      </c>
      <c r="AG297">
        <v>5.6381790000000001E-2</v>
      </c>
      <c r="AH297">
        <v>8.799469E-2</v>
      </c>
      <c r="AI297">
        <v>2.933156E-2</v>
      </c>
      <c r="AJ297">
        <v>0.12840707000000001</v>
      </c>
      <c r="AK297">
        <v>4.6278689999999997E-2</v>
      </c>
      <c r="AL297">
        <v>0.31482546</v>
      </c>
      <c r="AM297">
        <v>1.8576659999999998E-2</v>
      </c>
      <c r="AN297">
        <v>7.4306629999999999E-2</v>
      </c>
      <c r="AO297">
        <v>3.6175600000000002E-2</v>
      </c>
      <c r="AP297">
        <v>0.11602263</v>
      </c>
      <c r="AQ297">
        <v>0.53416037999999999</v>
      </c>
      <c r="AR297">
        <v>1.22157819</v>
      </c>
      <c r="AS297">
        <v>0.54817435000000003</v>
      </c>
      <c r="AT297">
        <v>0.95112487000000001</v>
      </c>
      <c r="AU297">
        <v>0.13427338</v>
      </c>
      <c r="AV297">
        <v>0.26333226999999998</v>
      </c>
      <c r="AW297">
        <v>0.22031264</v>
      </c>
      <c r="AX297">
        <v>8.0824759999999995E-2</v>
      </c>
      <c r="AY297">
        <v>1.499169E-2</v>
      </c>
      <c r="AZ297">
        <v>2.2813400000000002E-3</v>
      </c>
      <c r="BA297">
        <v>8.4735599999999998E-3</v>
      </c>
      <c r="BB297">
        <v>1.3036300000000001E-3</v>
      </c>
      <c r="BC297">
        <v>1.6295299999999999E-3</v>
      </c>
      <c r="BD297">
        <v>1.9554400000000001E-3</v>
      </c>
      <c r="BE297">
        <v>3.2591E-4</v>
      </c>
      <c r="BF297">
        <v>6.5180999999999995E-4</v>
      </c>
      <c r="BG297">
        <v>9.7772000000000006E-4</v>
      </c>
      <c r="BH297">
        <v>9.7772000000000006E-4</v>
      </c>
      <c r="BI297">
        <v>3.2591E-4</v>
      </c>
    </row>
    <row r="298" spans="1:62" x14ac:dyDescent="0.2">
      <c r="A298">
        <v>297</v>
      </c>
      <c r="B298" t="s">
        <v>466</v>
      </c>
      <c r="C298" t="s">
        <v>467</v>
      </c>
      <c r="D298" t="s">
        <v>468</v>
      </c>
      <c r="E298" t="s">
        <v>449</v>
      </c>
      <c r="F298" t="s">
        <v>450</v>
      </c>
      <c r="G298" t="s">
        <v>509</v>
      </c>
      <c r="H298">
        <v>4.692519E-3</v>
      </c>
      <c r="I298" s="1">
        <v>8.6640900000000006E-5</v>
      </c>
      <c r="J298">
        <f t="shared" si="8"/>
        <v>1.9836061116945545</v>
      </c>
      <c r="K298">
        <f t="shared" si="9"/>
        <v>0.89294633483019326</v>
      </c>
      <c r="L298">
        <v>21</v>
      </c>
      <c r="M298" t="s">
        <v>154</v>
      </c>
      <c r="Z298">
        <v>1.3407200000000001E-3</v>
      </c>
      <c r="AD298">
        <v>2.0110800000000002E-3</v>
      </c>
      <c r="AE298">
        <v>4.0221600000000003E-3</v>
      </c>
      <c r="AF298">
        <v>2.0110800000000002E-3</v>
      </c>
      <c r="AH298">
        <v>1.3407200000000001E-3</v>
      </c>
      <c r="AJ298">
        <v>2.6814400000000002E-3</v>
      </c>
      <c r="AK298">
        <v>4.0221600000000003E-3</v>
      </c>
      <c r="AM298">
        <v>6.7036000000000005E-4</v>
      </c>
      <c r="AN298">
        <v>8.0443200000000006E-3</v>
      </c>
      <c r="AP298">
        <v>2.6814400000000002E-3</v>
      </c>
      <c r="AS298">
        <v>4.4243739999999997E-2</v>
      </c>
      <c r="AT298">
        <v>5.3628800000000004E-3</v>
      </c>
      <c r="AU298">
        <v>2.6814400000000002E-3</v>
      </c>
      <c r="AV298">
        <v>1.3407200000000001E-3</v>
      </c>
      <c r="AW298">
        <v>1.3407200000000001E-3</v>
      </c>
      <c r="AX298">
        <v>8.0443200000000006E-3</v>
      </c>
      <c r="AZ298">
        <v>2.0110800000000002E-3</v>
      </c>
      <c r="BA298">
        <v>1.3407200000000001E-3</v>
      </c>
      <c r="BE298">
        <v>6.7036000000000005E-4</v>
      </c>
      <c r="BF298">
        <v>1.3407200000000001E-3</v>
      </c>
      <c r="BH298">
        <v>1.3407200000000001E-3</v>
      </c>
    </row>
    <row r="299" spans="1:62" x14ac:dyDescent="0.2">
      <c r="A299">
        <v>298</v>
      </c>
      <c r="B299" t="s">
        <v>466</v>
      </c>
      <c r="C299" t="s">
        <v>467</v>
      </c>
      <c r="D299" t="s">
        <v>468</v>
      </c>
      <c r="E299" t="s">
        <v>449</v>
      </c>
      <c r="F299" t="s">
        <v>450</v>
      </c>
      <c r="G299" t="s">
        <v>509</v>
      </c>
      <c r="H299">
        <v>7.0443800000000005E-4</v>
      </c>
      <c r="I299" s="1">
        <v>1.5109E-6</v>
      </c>
      <c r="J299">
        <f t="shared" si="8"/>
        <v>1.7449182511451851</v>
      </c>
      <c r="K299">
        <f t="shared" si="9"/>
        <v>0.86762048255778657</v>
      </c>
      <c r="L299">
        <v>32</v>
      </c>
      <c r="M299" t="s">
        <v>154</v>
      </c>
      <c r="P299">
        <v>6.0600000000000003E-5</v>
      </c>
      <c r="Q299">
        <v>3.0298E-4</v>
      </c>
      <c r="R299">
        <v>2.4238999999999999E-4</v>
      </c>
      <c r="S299">
        <v>1.2119E-4</v>
      </c>
      <c r="U299">
        <v>6.0600000000000003E-5</v>
      </c>
      <c r="V299">
        <v>1.2119E-4</v>
      </c>
      <c r="W299">
        <v>4.2418000000000002E-4</v>
      </c>
      <c r="X299">
        <v>3.6358000000000001E-4</v>
      </c>
      <c r="Y299">
        <v>1.15134E-3</v>
      </c>
      <c r="Z299">
        <v>6.6655999999999996E-4</v>
      </c>
      <c r="AA299">
        <v>6.7868399999999997E-3</v>
      </c>
      <c r="AB299">
        <v>1.8178999999999999E-3</v>
      </c>
      <c r="AC299">
        <v>1.2119E-4</v>
      </c>
      <c r="AD299">
        <v>8.4836000000000004E-4</v>
      </c>
      <c r="AE299">
        <v>8.4836000000000004E-4</v>
      </c>
      <c r="AF299">
        <v>1.2119E-4</v>
      </c>
      <c r="AH299">
        <v>6.0596999999999995E-4</v>
      </c>
      <c r="AI299">
        <v>2.4238999999999999E-4</v>
      </c>
      <c r="AJ299">
        <v>4.8476999999999998E-4</v>
      </c>
      <c r="AL299">
        <v>2.4238999999999999E-4</v>
      </c>
      <c r="AM299">
        <v>1.8179000000000001E-4</v>
      </c>
      <c r="AP299">
        <v>6.0596999999999995E-4</v>
      </c>
      <c r="AQ299">
        <v>1.2119399999999999E-3</v>
      </c>
      <c r="AR299">
        <v>4.8476999999999998E-4</v>
      </c>
      <c r="AU299">
        <v>4.8476999999999998E-4</v>
      </c>
      <c r="AV299">
        <v>2.4238699999999998E-3</v>
      </c>
      <c r="AW299">
        <v>7.2716000000000002E-4</v>
      </c>
      <c r="AY299">
        <v>2.4238999999999999E-4</v>
      </c>
      <c r="BA299">
        <v>1.2119E-4</v>
      </c>
      <c r="BB299">
        <v>2.4238999999999999E-4</v>
      </c>
      <c r="BE299">
        <v>6.0600000000000003E-5</v>
      </c>
      <c r="BI299">
        <v>1.2119E-4</v>
      </c>
    </row>
    <row r="300" spans="1:62" x14ac:dyDescent="0.2">
      <c r="A300">
        <v>299</v>
      </c>
      <c r="B300" t="s">
        <v>466</v>
      </c>
      <c r="C300" t="s">
        <v>467</v>
      </c>
      <c r="D300" t="s">
        <v>468</v>
      </c>
      <c r="E300" t="s">
        <v>449</v>
      </c>
      <c r="F300" t="s">
        <v>450</v>
      </c>
      <c r="G300" t="s">
        <v>510</v>
      </c>
      <c r="H300">
        <v>5.9615170000000004E-3</v>
      </c>
      <c r="I300" s="1">
        <v>2.2776899999999999E-5</v>
      </c>
      <c r="J300">
        <f t="shared" si="8"/>
        <v>0.80055379532041948</v>
      </c>
      <c r="K300">
        <f t="shared" si="9"/>
        <v>0.62495862456585527</v>
      </c>
      <c r="L300">
        <v>15</v>
      </c>
      <c r="M300" t="s">
        <v>154</v>
      </c>
      <c r="W300">
        <v>6.2388000000000001E-3</v>
      </c>
      <c r="X300">
        <v>4.1592E-3</v>
      </c>
      <c r="Y300">
        <v>2.0796E-3</v>
      </c>
      <c r="Z300">
        <v>2.0796E-3</v>
      </c>
      <c r="AE300">
        <v>4.1592E-3</v>
      </c>
      <c r="AF300">
        <v>1.6636789999999999E-2</v>
      </c>
      <c r="AJ300">
        <v>1.6636789999999999E-2</v>
      </c>
      <c r="AK300">
        <v>4.1592E-3</v>
      </c>
      <c r="AM300">
        <v>8.3183900000000002E-3</v>
      </c>
      <c r="AO300">
        <v>2.0796E-3</v>
      </c>
      <c r="AR300">
        <v>8.3183900000000002E-3</v>
      </c>
      <c r="AS300">
        <v>2.0796E-3</v>
      </c>
      <c r="AU300">
        <v>4.1592E-3</v>
      </c>
      <c r="AW300">
        <v>4.1592E-3</v>
      </c>
      <c r="BA300">
        <v>4.1592E-3</v>
      </c>
    </row>
    <row r="301" spans="1:62" x14ac:dyDescent="0.2">
      <c r="A301">
        <v>300</v>
      </c>
      <c r="B301" t="s">
        <v>466</v>
      </c>
      <c r="C301" t="s">
        <v>467</v>
      </c>
      <c r="D301" t="s">
        <v>468</v>
      </c>
      <c r="E301" t="s">
        <v>449</v>
      </c>
      <c r="F301" t="s">
        <v>450</v>
      </c>
      <c r="G301" t="s">
        <v>511</v>
      </c>
      <c r="H301">
        <v>4.2224189999999998E-3</v>
      </c>
      <c r="I301" s="1">
        <v>4.9436900000000001E-5</v>
      </c>
      <c r="J301">
        <f t="shared" si="8"/>
        <v>1.6651918930819245</v>
      </c>
      <c r="K301">
        <f t="shared" si="9"/>
        <v>0.85729188004547918</v>
      </c>
      <c r="L301">
        <v>14</v>
      </c>
      <c r="M301" t="s">
        <v>154</v>
      </c>
      <c r="AQ301">
        <v>2.0484200000000001E-2</v>
      </c>
      <c r="AR301">
        <v>1.379055E-2</v>
      </c>
      <c r="AS301">
        <v>1.653253E-2</v>
      </c>
      <c r="AT301">
        <v>4.8388000000000001E-4</v>
      </c>
      <c r="AU301">
        <v>1.1290499999999999E-3</v>
      </c>
      <c r="AV301">
        <v>1.1290499999999999E-3</v>
      </c>
      <c r="AW301">
        <v>1.6935800000000001E-3</v>
      </c>
      <c r="AY301">
        <v>8.0645999999999995E-4</v>
      </c>
      <c r="AZ301">
        <v>1.3306699999999999E-3</v>
      </c>
      <c r="BA301">
        <v>9.2743000000000003E-4</v>
      </c>
      <c r="BB301">
        <v>4.4356000000000002E-4</v>
      </c>
      <c r="BC301">
        <v>1.6129E-4</v>
      </c>
      <c r="BD301">
        <v>1.2097E-4</v>
      </c>
      <c r="BE301">
        <v>8.0649999999999995E-5</v>
      </c>
    </row>
    <row r="302" spans="1:62" x14ac:dyDescent="0.2">
      <c r="A302">
        <v>301</v>
      </c>
      <c r="B302" t="s">
        <v>466</v>
      </c>
      <c r="C302" t="s">
        <v>467</v>
      </c>
      <c r="D302" t="s">
        <v>468</v>
      </c>
      <c r="E302" t="s">
        <v>449</v>
      </c>
      <c r="F302" t="s">
        <v>450</v>
      </c>
      <c r="G302" t="s">
        <v>512</v>
      </c>
      <c r="H302">
        <v>1.6033359999999999E-3</v>
      </c>
      <c r="I302" s="1">
        <v>5.3923E-6</v>
      </c>
      <c r="J302">
        <f t="shared" si="8"/>
        <v>1.448313167348418</v>
      </c>
      <c r="K302">
        <f t="shared" si="9"/>
        <v>0.82290374352046813</v>
      </c>
      <c r="L302">
        <v>14</v>
      </c>
      <c r="M302" t="s">
        <v>154</v>
      </c>
      <c r="O302">
        <v>3.7410999999999998E-4</v>
      </c>
      <c r="P302">
        <v>7.4821999999999996E-4</v>
      </c>
      <c r="V302">
        <v>1.1223400000000001E-3</v>
      </c>
      <c r="W302">
        <v>3.7410999999999998E-4</v>
      </c>
      <c r="Y302">
        <v>3.7410999999999998E-4</v>
      </c>
      <c r="Z302">
        <v>3.7410999999999998E-4</v>
      </c>
      <c r="AA302">
        <v>8.9786899999999992E-3</v>
      </c>
      <c r="AB302">
        <v>3.7411200000000001E-3</v>
      </c>
      <c r="AE302">
        <v>2.2446699999999998E-3</v>
      </c>
      <c r="AK302">
        <v>7.4821999999999996E-4</v>
      </c>
      <c r="AN302">
        <v>3.7410999999999998E-4</v>
      </c>
      <c r="AP302">
        <v>1.4964500000000001E-3</v>
      </c>
      <c r="AQ302">
        <v>7.4821999999999996E-4</v>
      </c>
      <c r="AY302">
        <v>7.4821999999999996E-4</v>
      </c>
    </row>
    <row r="303" spans="1:62" x14ac:dyDescent="0.2">
      <c r="A303">
        <v>302</v>
      </c>
      <c r="B303" t="s">
        <v>466</v>
      </c>
      <c r="C303" t="s">
        <v>467</v>
      </c>
      <c r="D303" t="s">
        <v>468</v>
      </c>
      <c r="E303" t="s">
        <v>449</v>
      </c>
      <c r="F303" t="s">
        <v>450</v>
      </c>
      <c r="G303" t="s">
        <v>513</v>
      </c>
      <c r="H303">
        <v>2.9843363000000001E-2</v>
      </c>
      <c r="I303">
        <v>1.15683E-3</v>
      </c>
      <c r="J303">
        <f t="shared" si="8"/>
        <v>1.1396907142202559</v>
      </c>
      <c r="K303">
        <f t="shared" si="9"/>
        <v>0.75167040107158622</v>
      </c>
      <c r="L303">
        <v>36</v>
      </c>
      <c r="M303" t="s">
        <v>154</v>
      </c>
      <c r="R303">
        <v>4.9662300000000003E-3</v>
      </c>
      <c r="U303">
        <v>4.9662300000000003E-3</v>
      </c>
      <c r="V303">
        <v>4.9662300000000003E-3</v>
      </c>
      <c r="W303">
        <v>6.6216399999999998E-3</v>
      </c>
      <c r="Y303">
        <v>1.65541E-3</v>
      </c>
      <c r="Z303">
        <v>1.65541E-3</v>
      </c>
      <c r="AA303">
        <v>2.9797379999999998E-2</v>
      </c>
      <c r="AB303">
        <v>3.3108199999999997E-2</v>
      </c>
      <c r="AC303">
        <v>7.2838040000000007E-2</v>
      </c>
      <c r="AD303">
        <v>3.476361E-2</v>
      </c>
      <c r="AE303">
        <v>9.9324600000000006E-3</v>
      </c>
      <c r="AF303">
        <v>8.2770499999999993E-3</v>
      </c>
      <c r="AG303">
        <v>6.6216399999999998E-3</v>
      </c>
      <c r="AH303">
        <v>6.2905580000000003E-2</v>
      </c>
      <c r="AI303">
        <v>8.2770490000000002E-2</v>
      </c>
      <c r="AJ303">
        <v>0.11918951</v>
      </c>
      <c r="AK303">
        <v>9.9324600000000006E-3</v>
      </c>
      <c r="AL303">
        <v>2.317574E-2</v>
      </c>
      <c r="AM303">
        <v>3.3108199999999999E-3</v>
      </c>
      <c r="AN303">
        <v>0.10925704999999999</v>
      </c>
      <c r="AO303">
        <v>1.158787E-2</v>
      </c>
      <c r="AP303">
        <v>2.317574E-2</v>
      </c>
      <c r="AQ303">
        <v>2.9797379999999998E-2</v>
      </c>
      <c r="AR303">
        <v>5.2973119999999999E-2</v>
      </c>
      <c r="AS303">
        <v>2.9797379999999998E-2</v>
      </c>
      <c r="AT303">
        <v>0.13243278999999999</v>
      </c>
      <c r="AU303">
        <v>1.6554099999999999E-2</v>
      </c>
      <c r="AV303">
        <v>1.9864920000000001E-2</v>
      </c>
      <c r="AW303">
        <v>2.317574E-2</v>
      </c>
      <c r="AX303">
        <v>2.9797379999999998E-2</v>
      </c>
      <c r="AY303">
        <v>1.9864920000000001E-2</v>
      </c>
      <c r="AZ303">
        <v>8.2770499999999993E-3</v>
      </c>
      <c r="BA303">
        <v>2.317574E-2</v>
      </c>
      <c r="BB303">
        <v>1.158787E-2</v>
      </c>
      <c r="BC303">
        <v>9.9324600000000006E-3</v>
      </c>
      <c r="BG303">
        <v>1.65541E-3</v>
      </c>
    </row>
    <row r="304" spans="1:62" x14ac:dyDescent="0.2">
      <c r="A304">
        <v>303</v>
      </c>
      <c r="B304" t="s">
        <v>466</v>
      </c>
      <c r="C304" t="s">
        <v>467</v>
      </c>
      <c r="D304" t="s">
        <v>468</v>
      </c>
      <c r="E304" t="s">
        <v>449</v>
      </c>
      <c r="F304" t="s">
        <v>450</v>
      </c>
      <c r="G304" t="s">
        <v>511</v>
      </c>
      <c r="H304">
        <v>1.1010869999999999E-3</v>
      </c>
      <c r="I304" s="1">
        <v>2.5665599999999999E-6</v>
      </c>
      <c r="J304">
        <f t="shared" si="8"/>
        <v>1.4549701235222119</v>
      </c>
      <c r="K304">
        <f t="shared" si="9"/>
        <v>0.82411911888908496</v>
      </c>
      <c r="L304">
        <v>12</v>
      </c>
      <c r="M304" t="s">
        <v>154</v>
      </c>
      <c r="N304">
        <v>1.1197500000000001E-3</v>
      </c>
      <c r="R304">
        <v>2.2395E-4</v>
      </c>
      <c r="S304">
        <v>2.2395E-4</v>
      </c>
      <c r="T304">
        <v>2.2395E-4</v>
      </c>
      <c r="U304">
        <v>6.7184999999999999E-4</v>
      </c>
      <c r="V304">
        <v>6.7184999999999999E-4</v>
      </c>
      <c r="W304">
        <v>6.7184999999999999E-4</v>
      </c>
      <c r="X304">
        <v>1.1197500000000001E-3</v>
      </c>
      <c r="Y304">
        <v>6.0466399999999998E-3</v>
      </c>
      <c r="AI304">
        <v>4.4789999999999999E-4</v>
      </c>
      <c r="AL304">
        <v>4.4789999999999999E-4</v>
      </c>
      <c r="AY304">
        <v>1.3437E-3</v>
      </c>
    </row>
    <row r="305" spans="1:62" x14ac:dyDescent="0.2">
      <c r="A305">
        <v>304</v>
      </c>
      <c r="B305" t="s">
        <v>466</v>
      </c>
      <c r="C305" t="s">
        <v>467</v>
      </c>
      <c r="D305" t="s">
        <v>468</v>
      </c>
      <c r="E305" t="s">
        <v>449</v>
      </c>
      <c r="F305" t="s">
        <v>450</v>
      </c>
      <c r="G305" t="s">
        <v>514</v>
      </c>
      <c r="H305">
        <v>1.8491417999999999E-2</v>
      </c>
      <c r="I305">
        <v>2.703937E-3</v>
      </c>
      <c r="J305">
        <f t="shared" si="8"/>
        <v>2.8120825686402617</v>
      </c>
      <c r="K305">
        <f t="shared" si="9"/>
        <v>0.94219899232939608</v>
      </c>
      <c r="L305">
        <v>34</v>
      </c>
      <c r="M305" t="s">
        <v>154</v>
      </c>
      <c r="Q305">
        <v>9.8273999999999996E-4</v>
      </c>
      <c r="R305">
        <v>7.3705999999999999E-4</v>
      </c>
      <c r="T305">
        <v>9.8273999999999996E-4</v>
      </c>
      <c r="U305">
        <v>2.7025399999999998E-3</v>
      </c>
      <c r="V305">
        <v>5.0119759999999999E-2</v>
      </c>
      <c r="W305">
        <v>3.0956319999999999E-2</v>
      </c>
      <c r="X305">
        <v>1.0810139999999999E-2</v>
      </c>
      <c r="Y305">
        <v>2.8745159999999999E-2</v>
      </c>
      <c r="Z305">
        <v>9.3360300000000004E-3</v>
      </c>
      <c r="AA305">
        <v>0.30514090999999999</v>
      </c>
      <c r="AB305">
        <v>1.3266999999999999E-2</v>
      </c>
      <c r="AD305">
        <v>7.6162399999999998E-3</v>
      </c>
      <c r="AE305">
        <v>2.2111660000000002E-2</v>
      </c>
      <c r="AF305">
        <v>7.6162399999999998E-3</v>
      </c>
      <c r="AH305">
        <v>2.1128919999999999E-2</v>
      </c>
      <c r="AI305">
        <v>4.4223300000000004E-3</v>
      </c>
      <c r="AJ305">
        <v>9.8273999999999996E-4</v>
      </c>
      <c r="AL305">
        <v>2.9482200000000001E-3</v>
      </c>
      <c r="AM305">
        <v>6.14213E-3</v>
      </c>
      <c r="AN305">
        <v>3.0464950000000001E-2</v>
      </c>
      <c r="AO305">
        <v>3.68528E-3</v>
      </c>
      <c r="AP305">
        <v>2.653399E-2</v>
      </c>
      <c r="AQ305">
        <v>2.45685E-3</v>
      </c>
      <c r="AR305">
        <v>1.3266999999999999E-2</v>
      </c>
      <c r="AS305">
        <v>2.9482200000000001E-3</v>
      </c>
      <c r="AU305">
        <v>2.45685E-3</v>
      </c>
      <c r="AW305">
        <v>4.9136999999999998E-4</v>
      </c>
      <c r="AX305">
        <v>6.3878099999999998E-3</v>
      </c>
      <c r="AY305">
        <v>9.8273999999999996E-4</v>
      </c>
      <c r="AZ305">
        <v>2.9482200000000001E-3</v>
      </c>
      <c r="BA305">
        <v>6.6334999999999996E-3</v>
      </c>
      <c r="BB305">
        <v>9.8273999999999996E-4</v>
      </c>
      <c r="BG305">
        <v>4.9136999999999998E-4</v>
      </c>
      <c r="BI305">
        <v>1.22843E-3</v>
      </c>
    </row>
    <row r="306" spans="1:62" x14ac:dyDescent="0.2">
      <c r="A306">
        <v>305</v>
      </c>
      <c r="B306" t="s">
        <v>466</v>
      </c>
      <c r="C306" t="s">
        <v>467</v>
      </c>
      <c r="D306" t="s">
        <v>468</v>
      </c>
      <c r="E306" t="s">
        <v>449</v>
      </c>
      <c r="F306" t="s">
        <v>450</v>
      </c>
      <c r="G306" t="s">
        <v>515</v>
      </c>
      <c r="H306">
        <v>4.7411520000000002E-3</v>
      </c>
      <c r="I306" s="1">
        <v>2.7938900000000001E-5</v>
      </c>
      <c r="J306">
        <f t="shared" si="8"/>
        <v>1.1148611269503579</v>
      </c>
      <c r="K306">
        <f t="shared" si="9"/>
        <v>0.7444136582870976</v>
      </c>
      <c r="L306">
        <v>24</v>
      </c>
      <c r="M306" t="s">
        <v>154</v>
      </c>
      <c r="N306">
        <v>1.4047899999999999E-3</v>
      </c>
      <c r="P306">
        <v>1.4047899999999999E-3</v>
      </c>
      <c r="R306">
        <v>5.6191399999999999E-3</v>
      </c>
      <c r="S306">
        <v>4.2143600000000003E-3</v>
      </c>
      <c r="T306">
        <v>2.8095699999999999E-3</v>
      </c>
      <c r="V306">
        <v>1.4047899999999999E-3</v>
      </c>
      <c r="X306">
        <v>1.4047899999999999E-3</v>
      </c>
      <c r="Y306">
        <v>5.6191399999999999E-3</v>
      </c>
      <c r="Z306">
        <v>7.0239300000000003E-3</v>
      </c>
      <c r="AA306">
        <v>2.5286139999999999E-2</v>
      </c>
      <c r="AD306">
        <v>4.2143600000000003E-3</v>
      </c>
      <c r="AK306">
        <v>2.8095699999999999E-3</v>
      </c>
      <c r="AL306">
        <v>1.4047850000000001E-2</v>
      </c>
      <c r="AM306">
        <v>1.4047899999999999E-3</v>
      </c>
      <c r="AP306">
        <v>8.4287100000000007E-3</v>
      </c>
      <c r="AQ306">
        <v>5.6191399999999999E-3</v>
      </c>
      <c r="AT306">
        <v>2.8095699999999999E-3</v>
      </c>
      <c r="AW306">
        <v>1.4047899999999999E-3</v>
      </c>
      <c r="BB306">
        <v>1.4047899999999999E-3</v>
      </c>
      <c r="BC306">
        <v>5.6191399999999999E-3</v>
      </c>
      <c r="BD306">
        <v>2.8095699999999999E-3</v>
      </c>
      <c r="BE306">
        <v>2.8095699999999999E-3</v>
      </c>
      <c r="BF306">
        <v>2.8095699999999999E-3</v>
      </c>
      <c r="BG306">
        <v>1.4047899999999999E-3</v>
      </c>
    </row>
    <row r="307" spans="1:62" x14ac:dyDescent="0.2">
      <c r="A307">
        <v>306</v>
      </c>
      <c r="B307" t="s">
        <v>466</v>
      </c>
      <c r="C307" t="s">
        <v>467</v>
      </c>
      <c r="D307" t="s">
        <v>468</v>
      </c>
      <c r="E307" t="s">
        <v>449</v>
      </c>
      <c r="F307" t="s">
        <v>450</v>
      </c>
      <c r="G307" t="s">
        <v>511</v>
      </c>
      <c r="H307">
        <v>2.610547E-3</v>
      </c>
      <c r="I307" s="1">
        <v>5.5469799999999999E-6</v>
      </c>
      <c r="J307">
        <f t="shared" si="8"/>
        <v>0.90218745395393696</v>
      </c>
      <c r="K307">
        <f t="shared" si="9"/>
        <v>0.66986156678500886</v>
      </c>
      <c r="L307">
        <v>15</v>
      </c>
      <c r="M307" t="s">
        <v>154</v>
      </c>
      <c r="Q307">
        <v>1.2530600000000001E-3</v>
      </c>
      <c r="R307">
        <v>3.1326999999999999E-4</v>
      </c>
      <c r="S307">
        <v>3.1326999999999999E-4</v>
      </c>
      <c r="Y307">
        <v>3.1326999999999999E-4</v>
      </c>
      <c r="AC307">
        <v>2.5061200000000001E-3</v>
      </c>
      <c r="AG307">
        <v>1.5663299999999999E-3</v>
      </c>
      <c r="AL307">
        <v>6.2653000000000003E-4</v>
      </c>
      <c r="AM307">
        <v>9.3979999999999997E-4</v>
      </c>
      <c r="AN307">
        <v>5.0122500000000002E-3</v>
      </c>
      <c r="AO307">
        <v>6.2653099999999996E-3</v>
      </c>
      <c r="AP307">
        <v>5.6387800000000004E-3</v>
      </c>
      <c r="AQ307">
        <v>3.1326499999999998E-3</v>
      </c>
      <c r="AR307">
        <v>6.8918399999999998E-3</v>
      </c>
      <c r="AS307">
        <v>3.7591899999999999E-3</v>
      </c>
      <c r="AU307">
        <v>6.2653000000000003E-4</v>
      </c>
    </row>
    <row r="308" spans="1:62" x14ac:dyDescent="0.2">
      <c r="A308">
        <v>307</v>
      </c>
      <c r="B308" t="s">
        <v>466</v>
      </c>
      <c r="C308" t="s">
        <v>467</v>
      </c>
      <c r="D308" t="s">
        <v>468</v>
      </c>
      <c r="E308" t="s">
        <v>449</v>
      </c>
      <c r="F308" t="s">
        <v>450</v>
      </c>
      <c r="G308" t="s">
        <v>516</v>
      </c>
      <c r="H308">
        <v>8.5586199999999999E-4</v>
      </c>
      <c r="I308" s="1">
        <v>3.7155599999999998E-6</v>
      </c>
      <c r="J308">
        <f t="shared" si="8"/>
        <v>2.2522074728915289</v>
      </c>
      <c r="K308">
        <f t="shared" si="9"/>
        <v>0.91395924990475863</v>
      </c>
      <c r="L308">
        <v>41</v>
      </c>
      <c r="M308" t="s">
        <v>154</v>
      </c>
      <c r="N308">
        <v>6.1185999999999999E-4</v>
      </c>
      <c r="O308">
        <v>3.0592999999999999E-4</v>
      </c>
      <c r="P308">
        <v>2.7534E-4</v>
      </c>
      <c r="Q308">
        <v>1.2237000000000001E-4</v>
      </c>
      <c r="R308">
        <v>1.8356000000000001E-4</v>
      </c>
      <c r="T308">
        <v>3.0589999999999997E-5</v>
      </c>
      <c r="U308">
        <v>3.0589999999999997E-5</v>
      </c>
      <c r="V308">
        <v>2.1415E-4</v>
      </c>
      <c r="W308">
        <v>1.2237000000000001E-4</v>
      </c>
      <c r="X308">
        <v>2.7534E-4</v>
      </c>
      <c r="Y308">
        <v>4.8948999999999998E-4</v>
      </c>
      <c r="Z308">
        <v>6.1190000000000002E-5</v>
      </c>
      <c r="AA308">
        <v>8.5661000000000005E-4</v>
      </c>
      <c r="AB308">
        <v>6.1185999999999999E-4</v>
      </c>
      <c r="AC308">
        <v>1.8356000000000001E-4</v>
      </c>
      <c r="AD308">
        <v>4.5889999999999999E-4</v>
      </c>
      <c r="AE308">
        <v>6.1185999999999999E-4</v>
      </c>
      <c r="AF308">
        <v>1.2237000000000001E-4</v>
      </c>
      <c r="AG308">
        <v>2.4475000000000001E-4</v>
      </c>
      <c r="AH308">
        <v>1.8967700000000001E-3</v>
      </c>
      <c r="AI308">
        <v>1.52966E-3</v>
      </c>
      <c r="AJ308">
        <v>2.4475000000000001E-4</v>
      </c>
      <c r="AK308">
        <v>5.2008000000000002E-4</v>
      </c>
      <c r="AL308">
        <v>2.1415200000000001E-3</v>
      </c>
      <c r="AM308">
        <v>1.5296999999999999E-4</v>
      </c>
      <c r="AN308">
        <v>6.7305000000000002E-4</v>
      </c>
      <c r="AP308">
        <v>1.2298440000000001E-2</v>
      </c>
      <c r="AT308">
        <v>1.8356000000000001E-4</v>
      </c>
      <c r="AU308">
        <v>1.7744E-3</v>
      </c>
      <c r="AV308">
        <v>6.1185999999999999E-4</v>
      </c>
      <c r="AW308">
        <v>1.28491E-3</v>
      </c>
      <c r="AX308">
        <v>1.4072799999999999E-3</v>
      </c>
      <c r="AY308">
        <v>2.2638900000000002E-3</v>
      </c>
      <c r="BA308">
        <v>1.5296999999999999E-4</v>
      </c>
      <c r="BC308">
        <v>3.0592999999999999E-4</v>
      </c>
      <c r="BD308">
        <v>5.8127000000000005E-4</v>
      </c>
      <c r="BE308">
        <v>6.4245999999999997E-4</v>
      </c>
      <c r="BF308">
        <v>1.5296999999999999E-4</v>
      </c>
      <c r="BG308">
        <v>9.1780000000000006E-5</v>
      </c>
      <c r="BI308">
        <v>2.7534E-4</v>
      </c>
      <c r="BJ308">
        <v>9.1780000000000006E-5</v>
      </c>
    </row>
    <row r="309" spans="1:62" x14ac:dyDescent="0.2">
      <c r="A309">
        <v>308</v>
      </c>
      <c r="B309" t="s">
        <v>466</v>
      </c>
      <c r="C309" t="s">
        <v>467</v>
      </c>
      <c r="D309" t="s">
        <v>468</v>
      </c>
      <c r="E309" t="s">
        <v>449</v>
      </c>
      <c r="F309" t="s">
        <v>450</v>
      </c>
      <c r="G309" t="s">
        <v>511</v>
      </c>
      <c r="H309">
        <v>2.0631650000000001E-3</v>
      </c>
      <c r="I309" s="1">
        <v>3.0060000000000001E-6</v>
      </c>
      <c r="J309">
        <f t="shared" si="8"/>
        <v>0.84035062305534791</v>
      </c>
      <c r="K309">
        <f t="shared" si="9"/>
        <v>0.64334945289217726</v>
      </c>
      <c r="L309">
        <v>34</v>
      </c>
      <c r="M309" t="s">
        <v>154</v>
      </c>
      <c r="N309">
        <v>2.7725999999999998E-4</v>
      </c>
      <c r="P309">
        <v>5.5453000000000002E-4</v>
      </c>
      <c r="Q309">
        <v>2.7726299999999999E-3</v>
      </c>
      <c r="R309">
        <v>2.4953699999999998E-3</v>
      </c>
      <c r="S309">
        <v>1.1090500000000001E-3</v>
      </c>
      <c r="T309">
        <v>1.66358E-3</v>
      </c>
      <c r="U309">
        <v>8.3179E-4</v>
      </c>
      <c r="V309">
        <v>1.66358E-3</v>
      </c>
      <c r="W309">
        <v>5.5453000000000002E-4</v>
      </c>
      <c r="X309">
        <v>2.7725999999999998E-4</v>
      </c>
      <c r="Y309">
        <v>5.5453000000000002E-4</v>
      </c>
      <c r="Z309">
        <v>2.4953699999999998E-3</v>
      </c>
      <c r="AB309">
        <v>3.32716E-3</v>
      </c>
      <c r="AC309">
        <v>2.7726299999999999E-3</v>
      </c>
      <c r="AD309">
        <v>5.5453000000000002E-4</v>
      </c>
      <c r="AE309">
        <v>4.9907399999999996E-3</v>
      </c>
      <c r="AF309">
        <v>8.3179E-4</v>
      </c>
      <c r="AI309">
        <v>1.66358E-3</v>
      </c>
      <c r="AJ309">
        <v>2.2181100000000001E-3</v>
      </c>
      <c r="AL309">
        <v>1.1090500000000001E-3</v>
      </c>
      <c r="AM309">
        <v>1.9408400000000001E-3</v>
      </c>
      <c r="AN309">
        <v>4.9907399999999996E-3</v>
      </c>
      <c r="AP309">
        <v>2.7726299999999999E-3</v>
      </c>
      <c r="AQ309">
        <v>6.65432E-3</v>
      </c>
      <c r="AR309">
        <v>1.66358E-3</v>
      </c>
      <c r="AS309">
        <v>1.66358E-3</v>
      </c>
      <c r="AT309">
        <v>2.2181100000000001E-3</v>
      </c>
      <c r="AX309">
        <v>1.66358E-3</v>
      </c>
      <c r="BA309">
        <v>7.2088500000000002E-3</v>
      </c>
      <c r="BB309">
        <v>2.7726299999999999E-3</v>
      </c>
      <c r="BC309">
        <v>2.7726299999999999E-3</v>
      </c>
      <c r="BD309">
        <v>2.7725999999999998E-4</v>
      </c>
      <c r="BE309">
        <v>2.7725999999999998E-4</v>
      </c>
      <c r="BH309">
        <v>5.5453000000000002E-4</v>
      </c>
    </row>
    <row r="310" spans="1:62" x14ac:dyDescent="0.2">
      <c r="A310">
        <v>309</v>
      </c>
      <c r="B310" t="s">
        <v>466</v>
      </c>
      <c r="C310" t="s">
        <v>467</v>
      </c>
      <c r="D310" t="s">
        <v>468</v>
      </c>
      <c r="E310" t="s">
        <v>449</v>
      </c>
      <c r="F310" t="s">
        <v>450</v>
      </c>
      <c r="G310" t="s">
        <v>517</v>
      </c>
      <c r="H310">
        <v>1.3845263E-2</v>
      </c>
      <c r="I310">
        <v>2.0394599999999999E-4</v>
      </c>
      <c r="J310">
        <f t="shared" si="8"/>
        <v>1.0314694891572049</v>
      </c>
      <c r="K310">
        <f t="shared" si="9"/>
        <v>0.71797442934148814</v>
      </c>
      <c r="L310">
        <v>12</v>
      </c>
      <c r="M310" t="s">
        <v>154</v>
      </c>
      <c r="T310">
        <v>1.4735499999999999E-3</v>
      </c>
      <c r="U310">
        <v>5.8942100000000004E-3</v>
      </c>
      <c r="V310">
        <v>2.3576860000000002E-2</v>
      </c>
      <c r="W310">
        <v>1.3998760000000001E-2</v>
      </c>
      <c r="X310">
        <v>1.731425E-2</v>
      </c>
      <c r="Z310">
        <v>4.862727E-2</v>
      </c>
      <c r="AA310">
        <v>1.031487E-2</v>
      </c>
      <c r="AB310">
        <v>3.0207850000000001E-2</v>
      </c>
      <c r="AD310">
        <v>3.6838800000000001E-3</v>
      </c>
      <c r="AE310">
        <v>3.6838800000000001E-3</v>
      </c>
      <c r="AL310">
        <v>6.6309899999999998E-3</v>
      </c>
      <c r="AM310">
        <v>7.3678000000000003E-4</v>
      </c>
    </row>
    <row r="311" spans="1:62" x14ac:dyDescent="0.2">
      <c r="A311">
        <v>310</v>
      </c>
      <c r="B311" t="s">
        <v>466</v>
      </c>
      <c r="C311" t="s">
        <v>467</v>
      </c>
      <c r="D311" t="s">
        <v>468</v>
      </c>
      <c r="E311" t="s">
        <v>449</v>
      </c>
      <c r="F311" t="s">
        <v>450</v>
      </c>
      <c r="G311" t="s">
        <v>518</v>
      </c>
      <c r="H311">
        <v>1.8263190000000001E-3</v>
      </c>
      <c r="I311" s="1">
        <v>3.22707E-6</v>
      </c>
      <c r="J311">
        <f t="shared" si="8"/>
        <v>0.98362046433986083</v>
      </c>
      <c r="K311">
        <f t="shared" si="9"/>
        <v>0.70124401531762526</v>
      </c>
      <c r="L311">
        <v>14</v>
      </c>
      <c r="M311" t="s">
        <v>154</v>
      </c>
      <c r="V311">
        <v>1.53411E-3</v>
      </c>
      <c r="AE311">
        <v>1.0227400000000001E-3</v>
      </c>
      <c r="AF311">
        <v>3.3238999999999999E-3</v>
      </c>
      <c r="AH311">
        <v>2.5568499999999998E-3</v>
      </c>
      <c r="AI311">
        <v>2.0454800000000001E-3</v>
      </c>
      <c r="AJ311">
        <v>2.5568499999999998E-3</v>
      </c>
      <c r="AK311">
        <v>1.7897900000000001E-3</v>
      </c>
      <c r="AM311">
        <v>2.5567999999999999E-4</v>
      </c>
      <c r="AP311">
        <v>1.0227400000000001E-3</v>
      </c>
      <c r="AQ311">
        <v>5.1137000000000003E-4</v>
      </c>
      <c r="BA311">
        <v>5.1137000000000003E-4</v>
      </c>
      <c r="BB311">
        <v>7.1591700000000003E-3</v>
      </c>
      <c r="BC311">
        <v>7.6705000000000002E-4</v>
      </c>
      <c r="BH311">
        <v>5.1137000000000003E-4</v>
      </c>
    </row>
    <row r="312" spans="1:62" x14ac:dyDescent="0.2">
      <c r="A312">
        <v>311</v>
      </c>
      <c r="B312" t="s">
        <v>466</v>
      </c>
      <c r="C312" t="s">
        <v>467</v>
      </c>
      <c r="D312" t="s">
        <v>468</v>
      </c>
      <c r="E312" t="s">
        <v>449</v>
      </c>
      <c r="F312" t="s">
        <v>450</v>
      </c>
      <c r="G312" t="s">
        <v>519</v>
      </c>
      <c r="H312">
        <v>8.6747490000000007E-3</v>
      </c>
      <c r="I312">
        <v>3.20735E-4</v>
      </c>
      <c r="J312">
        <f t="shared" si="8"/>
        <v>2.0645065247872836</v>
      </c>
      <c r="K312">
        <f t="shared" si="9"/>
        <v>0.89998052819319829</v>
      </c>
      <c r="L312">
        <v>17</v>
      </c>
      <c r="M312" t="s">
        <v>154</v>
      </c>
      <c r="AL312">
        <v>7.7616000000000002E-4</v>
      </c>
      <c r="AM312">
        <v>7.7616000000000002E-4</v>
      </c>
      <c r="AN312">
        <v>1.55232E-3</v>
      </c>
      <c r="AO312">
        <v>1.55232E-3</v>
      </c>
      <c r="AP312">
        <v>1.55232E-3</v>
      </c>
      <c r="AQ312">
        <v>4.6569699999999999E-3</v>
      </c>
      <c r="AR312">
        <v>5.8988310000000002E-2</v>
      </c>
      <c r="AS312">
        <v>5.2779010000000001E-2</v>
      </c>
      <c r="AT312">
        <v>4.6569699999999999E-3</v>
      </c>
      <c r="AU312">
        <v>1.55232E-3</v>
      </c>
      <c r="AV312">
        <v>7.7616200000000003E-3</v>
      </c>
      <c r="AW312">
        <v>7.7616000000000002E-4</v>
      </c>
      <c r="AX312">
        <v>4.6569699999999999E-3</v>
      </c>
      <c r="AY312">
        <v>1.55232E-3</v>
      </c>
      <c r="AZ312">
        <v>2.3284899999999999E-3</v>
      </c>
      <c r="BF312">
        <v>7.7616000000000002E-4</v>
      </c>
      <c r="BG312">
        <v>7.7616000000000002E-4</v>
      </c>
    </row>
    <row r="313" spans="1:62" x14ac:dyDescent="0.2">
      <c r="A313">
        <v>312</v>
      </c>
      <c r="B313" t="s">
        <v>466</v>
      </c>
      <c r="C313" t="s">
        <v>467</v>
      </c>
      <c r="D313" t="s">
        <v>468</v>
      </c>
      <c r="E313" t="s">
        <v>449</v>
      </c>
      <c r="F313" t="s">
        <v>450</v>
      </c>
      <c r="G313" t="s">
        <v>520</v>
      </c>
      <c r="H313">
        <v>4.5481599999999998E-4</v>
      </c>
      <c r="I313" s="1">
        <v>2.18171E-7</v>
      </c>
      <c r="J313">
        <f t="shared" si="8"/>
        <v>1.0269818699904356</v>
      </c>
      <c r="K313">
        <f t="shared" si="9"/>
        <v>0.71645585639071929</v>
      </c>
      <c r="L313">
        <v>13</v>
      </c>
      <c r="M313" t="s">
        <v>154</v>
      </c>
      <c r="S313">
        <v>1.7055999999999999E-4</v>
      </c>
      <c r="U313">
        <v>1.7055999999999999E-4</v>
      </c>
      <c r="AE313">
        <v>1.137E-4</v>
      </c>
      <c r="AO313">
        <v>7.3908000000000003E-4</v>
      </c>
      <c r="AR313">
        <v>4.5481999999999999E-4</v>
      </c>
      <c r="AT313">
        <v>9.0963000000000003E-4</v>
      </c>
      <c r="AY313">
        <v>1.137E-4</v>
      </c>
      <c r="BA313">
        <v>1.137E-4</v>
      </c>
      <c r="BC313">
        <v>5.1166999999999999E-4</v>
      </c>
      <c r="BD313">
        <v>7.9593000000000003E-4</v>
      </c>
      <c r="BE313">
        <v>1.6487100000000001E-3</v>
      </c>
      <c r="BG313">
        <v>5.6849999999999999E-5</v>
      </c>
      <c r="BH313">
        <v>1.137E-4</v>
      </c>
    </row>
    <row r="314" spans="1:62" x14ac:dyDescent="0.2">
      <c r="A314">
        <v>313</v>
      </c>
      <c r="B314" t="s">
        <v>466</v>
      </c>
      <c r="C314" t="s">
        <v>467</v>
      </c>
      <c r="D314" t="s">
        <v>468</v>
      </c>
      <c r="E314" t="s">
        <v>449</v>
      </c>
      <c r="F314" t="s">
        <v>450</v>
      </c>
      <c r="G314" t="s">
        <v>521</v>
      </c>
      <c r="H314">
        <v>1.691208E-3</v>
      </c>
      <c r="I314" s="1">
        <v>3.7092099999999998E-6</v>
      </c>
      <c r="J314">
        <f t="shared" si="8"/>
        <v>1.1387901096291273</v>
      </c>
      <c r="K314">
        <f t="shared" si="9"/>
        <v>0.75141184998177812</v>
      </c>
      <c r="L314">
        <v>10</v>
      </c>
      <c r="M314" t="s">
        <v>154</v>
      </c>
      <c r="AB314">
        <v>4.55325E-3</v>
      </c>
      <c r="AK314">
        <v>1.6262000000000001E-4</v>
      </c>
      <c r="AM314">
        <v>1.6262000000000001E-4</v>
      </c>
      <c r="AN314">
        <v>9.7570000000000003E-4</v>
      </c>
      <c r="AP314">
        <v>6.5045999999999995E-4</v>
      </c>
      <c r="AV314">
        <v>9.7570000000000003E-4</v>
      </c>
      <c r="AW314">
        <v>6.5045999999999995E-4</v>
      </c>
      <c r="AX314">
        <v>3.2522999999999997E-4</v>
      </c>
      <c r="BD314">
        <v>5.3663299999999999E-3</v>
      </c>
      <c r="BG314">
        <v>3.0897099999999999E-3</v>
      </c>
    </row>
    <row r="315" spans="1:62" x14ac:dyDescent="0.2">
      <c r="A315">
        <v>314</v>
      </c>
      <c r="B315" t="s">
        <v>466</v>
      </c>
      <c r="C315" t="s">
        <v>467</v>
      </c>
      <c r="D315" t="s">
        <v>468</v>
      </c>
      <c r="E315" t="s">
        <v>449</v>
      </c>
      <c r="F315" t="s">
        <v>450</v>
      </c>
      <c r="G315" t="s">
        <v>522</v>
      </c>
      <c r="H315">
        <v>2.0846039999999999E-3</v>
      </c>
      <c r="I315" s="1">
        <v>9.8379200000000008E-6</v>
      </c>
      <c r="J315">
        <f t="shared" si="8"/>
        <v>1.5046243175483589</v>
      </c>
      <c r="K315">
        <f t="shared" si="9"/>
        <v>0.83283703849484403</v>
      </c>
      <c r="L315">
        <v>18</v>
      </c>
      <c r="M315" t="s">
        <v>154</v>
      </c>
      <c r="N315">
        <v>1.063148E-2</v>
      </c>
      <c r="O315">
        <v>7.8172599999999995E-3</v>
      </c>
      <c r="P315">
        <v>3.4395900000000002E-3</v>
      </c>
      <c r="Q315">
        <v>3.1269000000000002E-4</v>
      </c>
      <c r="S315">
        <v>1.5635000000000001E-4</v>
      </c>
      <c r="T315">
        <v>1.5635000000000001E-4</v>
      </c>
      <c r="V315">
        <v>3.1269000000000002E-4</v>
      </c>
      <c r="W315">
        <v>1.5635000000000001E-4</v>
      </c>
      <c r="AC315">
        <v>6.2538000000000003E-4</v>
      </c>
      <c r="AD315">
        <v>1.5635000000000001E-4</v>
      </c>
      <c r="AU315">
        <v>9.3807000000000005E-4</v>
      </c>
      <c r="AY315">
        <v>4.6904E-4</v>
      </c>
      <c r="BC315">
        <v>1.5635000000000001E-4</v>
      </c>
      <c r="BE315">
        <v>7.0355299999999999E-3</v>
      </c>
      <c r="BF315">
        <v>2.1888300000000001E-3</v>
      </c>
      <c r="BH315">
        <v>1.09442E-3</v>
      </c>
      <c r="BI315">
        <v>1.40711E-3</v>
      </c>
      <c r="BJ315">
        <v>4.6904E-4</v>
      </c>
    </row>
    <row r="316" spans="1:62" x14ac:dyDescent="0.2">
      <c r="A316">
        <v>315</v>
      </c>
      <c r="B316" t="s">
        <v>466</v>
      </c>
      <c r="C316" t="s">
        <v>467</v>
      </c>
      <c r="D316" t="s">
        <v>468</v>
      </c>
      <c r="E316" t="s">
        <v>449</v>
      </c>
      <c r="F316" t="s">
        <v>450</v>
      </c>
      <c r="G316" t="s">
        <v>523</v>
      </c>
      <c r="H316">
        <v>5.402446E-3</v>
      </c>
      <c r="I316" s="1">
        <v>2.6834799999999999E-5</v>
      </c>
      <c r="J316">
        <f t="shared" si="8"/>
        <v>0.95886782673102722</v>
      </c>
      <c r="K316">
        <f t="shared" si="9"/>
        <v>0.69210643853556275</v>
      </c>
      <c r="L316">
        <v>15</v>
      </c>
      <c r="M316" t="s">
        <v>154</v>
      </c>
      <c r="W316">
        <v>9.5337300000000007E-3</v>
      </c>
      <c r="X316">
        <v>1.90675E-3</v>
      </c>
      <c r="Y316">
        <v>9.5337000000000004E-4</v>
      </c>
      <c r="Z316">
        <v>9.5337000000000004E-4</v>
      </c>
      <c r="AE316">
        <v>1.334722E-2</v>
      </c>
      <c r="AG316">
        <v>9.5337000000000004E-4</v>
      </c>
      <c r="AH316">
        <v>1.1440469999999999E-2</v>
      </c>
      <c r="AJ316">
        <v>1.334722E-2</v>
      </c>
      <c r="AM316">
        <v>1.90675E-3</v>
      </c>
      <c r="AN316">
        <v>7.6269800000000002E-3</v>
      </c>
      <c r="AO316">
        <v>2.8601199999999998E-3</v>
      </c>
      <c r="AP316">
        <v>1.90675E-3</v>
      </c>
      <c r="BA316">
        <v>1.239385E-2</v>
      </c>
      <c r="BH316">
        <v>9.5337000000000004E-4</v>
      </c>
      <c r="BI316">
        <v>9.5337000000000004E-4</v>
      </c>
    </row>
    <row r="317" spans="1:62" x14ac:dyDescent="0.2">
      <c r="A317">
        <v>316</v>
      </c>
      <c r="B317" t="s">
        <v>466</v>
      </c>
      <c r="C317" t="s">
        <v>467</v>
      </c>
      <c r="D317" t="s">
        <v>468</v>
      </c>
      <c r="E317" t="s">
        <v>449</v>
      </c>
      <c r="F317" t="s">
        <v>450</v>
      </c>
      <c r="G317" t="s">
        <v>524</v>
      </c>
      <c r="H317">
        <v>3.6955550000000001E-3</v>
      </c>
      <c r="I317" s="1">
        <v>6.5495100000000004E-6</v>
      </c>
      <c r="J317">
        <f t="shared" si="8"/>
        <v>0.69250790400955653</v>
      </c>
      <c r="K317">
        <f t="shared" si="9"/>
        <v>0.5693212412398807</v>
      </c>
      <c r="L317">
        <v>46</v>
      </c>
      <c r="M317" t="s">
        <v>154</v>
      </c>
      <c r="N317">
        <v>7.2959000000000001E-4</v>
      </c>
      <c r="P317">
        <v>1.09439E-3</v>
      </c>
      <c r="Q317">
        <v>3.4655699999999998E-3</v>
      </c>
      <c r="R317">
        <v>4.0127699999999997E-3</v>
      </c>
      <c r="S317">
        <v>3.6479699999999999E-3</v>
      </c>
      <c r="T317">
        <v>4.3775699999999999E-3</v>
      </c>
      <c r="U317">
        <v>2.5535800000000002E-3</v>
      </c>
      <c r="V317">
        <v>2.3711800000000001E-3</v>
      </c>
      <c r="W317">
        <v>1.45919E-3</v>
      </c>
      <c r="X317">
        <v>4.1951699999999998E-3</v>
      </c>
      <c r="Y317">
        <v>2.9183799999999999E-3</v>
      </c>
      <c r="Z317">
        <v>2.18878E-3</v>
      </c>
      <c r="AA317">
        <v>1.3132700000000001E-2</v>
      </c>
      <c r="AB317">
        <v>2.9183799999999999E-3</v>
      </c>
      <c r="AC317">
        <v>8.7551299999999999E-3</v>
      </c>
      <c r="AD317">
        <v>2.9183799999999999E-3</v>
      </c>
      <c r="AE317">
        <v>2.9183799999999999E-3</v>
      </c>
      <c r="AG317">
        <v>2.7359799999999998E-3</v>
      </c>
      <c r="AH317">
        <v>1.8239899999999999E-3</v>
      </c>
      <c r="AI317">
        <v>2.18878E-3</v>
      </c>
      <c r="AJ317">
        <v>1.8239899999999999E-3</v>
      </c>
      <c r="AK317">
        <v>4.0127699999999997E-3</v>
      </c>
      <c r="AL317">
        <v>6.5663500000000003E-3</v>
      </c>
      <c r="AM317">
        <v>9.3023299999999993E-3</v>
      </c>
      <c r="AN317">
        <v>4.3775699999999999E-3</v>
      </c>
      <c r="AP317">
        <v>6.9311499999999996E-3</v>
      </c>
      <c r="AQ317">
        <v>7.6607400000000001E-3</v>
      </c>
      <c r="AR317">
        <v>4.7423600000000002E-3</v>
      </c>
      <c r="AS317">
        <v>1.8239899999999999E-3</v>
      </c>
      <c r="AT317">
        <v>7.2959000000000001E-4</v>
      </c>
      <c r="AU317">
        <v>3.6479999999999998E-4</v>
      </c>
      <c r="AV317">
        <v>1.45919E-3</v>
      </c>
      <c r="AW317">
        <v>3.6479999999999998E-4</v>
      </c>
      <c r="AX317">
        <v>4.7423600000000002E-3</v>
      </c>
      <c r="AY317">
        <v>4.0127699999999997E-3</v>
      </c>
      <c r="AZ317">
        <v>2.18878E-3</v>
      </c>
      <c r="BA317">
        <v>5.6543599999999998E-3</v>
      </c>
      <c r="BB317">
        <v>7.1135499999999997E-3</v>
      </c>
      <c r="BC317">
        <v>4.7423600000000002E-3</v>
      </c>
      <c r="BD317">
        <v>1.45919E-3</v>
      </c>
      <c r="BE317">
        <v>2.9183799999999999E-3</v>
      </c>
      <c r="BF317">
        <v>5.4719599999999997E-3</v>
      </c>
      <c r="BG317">
        <v>3.2831800000000001E-3</v>
      </c>
      <c r="BH317">
        <v>3.4655699999999998E-3</v>
      </c>
      <c r="BI317">
        <v>2.0063799999999999E-3</v>
      </c>
      <c r="BJ317">
        <v>2.3711800000000001E-3</v>
      </c>
    </row>
    <row r="318" spans="1:62" x14ac:dyDescent="0.2">
      <c r="A318">
        <v>317</v>
      </c>
      <c r="B318" t="s">
        <v>466</v>
      </c>
      <c r="C318" t="s">
        <v>467</v>
      </c>
      <c r="D318" t="s">
        <v>468</v>
      </c>
      <c r="E318" t="s">
        <v>449</v>
      </c>
      <c r="F318" t="s">
        <v>450</v>
      </c>
      <c r="G318" t="s">
        <v>524</v>
      </c>
      <c r="H318">
        <v>2.4519030000000001E-3</v>
      </c>
      <c r="I318" s="1">
        <v>2.7458999999999998E-6</v>
      </c>
      <c r="J318">
        <f t="shared" si="8"/>
        <v>0.67583250134975859</v>
      </c>
      <c r="K318">
        <f t="shared" si="9"/>
        <v>0.55994661586998695</v>
      </c>
      <c r="L318">
        <v>21</v>
      </c>
      <c r="M318" t="s">
        <v>154</v>
      </c>
      <c r="AB318">
        <v>1.7163300000000001E-3</v>
      </c>
      <c r="AC318">
        <v>2.5745E-3</v>
      </c>
      <c r="AD318">
        <v>2.5745E-3</v>
      </c>
      <c r="AE318">
        <v>8.5817E-4</v>
      </c>
      <c r="AG318">
        <v>3.8617500000000002E-3</v>
      </c>
      <c r="AH318">
        <v>1.7163300000000001E-3</v>
      </c>
      <c r="AI318">
        <v>3.4326700000000001E-3</v>
      </c>
      <c r="AJ318">
        <v>6.0071600000000001E-3</v>
      </c>
      <c r="AK318">
        <v>4.7199099999999999E-3</v>
      </c>
      <c r="AL318">
        <v>1.7163300000000001E-3</v>
      </c>
      <c r="AM318">
        <v>5.1489999999999999E-3</v>
      </c>
      <c r="AP318">
        <v>5.1489999999999999E-3</v>
      </c>
      <c r="AQ318">
        <v>8.5817E-4</v>
      </c>
      <c r="AS318">
        <v>1.7163300000000001E-3</v>
      </c>
      <c r="AY318">
        <v>2.5745E-3</v>
      </c>
      <c r="AZ318">
        <v>1.7163300000000001E-3</v>
      </c>
      <c r="BA318">
        <v>1.7163300000000001E-3</v>
      </c>
      <c r="BB318">
        <v>8.5817E-4</v>
      </c>
      <c r="BC318">
        <v>1.7163300000000001E-3</v>
      </c>
      <c r="BE318">
        <v>4.2907999999999998E-4</v>
      </c>
      <c r="BG318">
        <v>4.2907999999999998E-4</v>
      </c>
    </row>
    <row r="319" spans="1:62" x14ac:dyDescent="0.2">
      <c r="A319">
        <v>318</v>
      </c>
      <c r="B319" t="s">
        <v>466</v>
      </c>
      <c r="C319" t="s">
        <v>467</v>
      </c>
      <c r="D319" t="s">
        <v>468</v>
      </c>
      <c r="E319" t="s">
        <v>449</v>
      </c>
      <c r="F319" t="s">
        <v>450</v>
      </c>
      <c r="G319" t="s">
        <v>525</v>
      </c>
      <c r="H319">
        <v>1.1075932E-2</v>
      </c>
      <c r="I319">
        <v>3.49122E-4</v>
      </c>
      <c r="J319">
        <f t="shared" si="8"/>
        <v>1.6869737609528919</v>
      </c>
      <c r="K319">
        <f t="shared" si="9"/>
        <v>0.86022178446495856</v>
      </c>
      <c r="L319">
        <v>25</v>
      </c>
      <c r="M319" t="s">
        <v>154</v>
      </c>
      <c r="O319">
        <v>4.89004E-3</v>
      </c>
      <c r="P319">
        <v>2.44502E-3</v>
      </c>
      <c r="Q319">
        <v>1.22251E-3</v>
      </c>
      <c r="R319">
        <v>6.1125000000000003E-4</v>
      </c>
      <c r="S319">
        <v>1.83376E-3</v>
      </c>
      <c r="T319">
        <v>1.22251E-3</v>
      </c>
      <c r="U319">
        <v>3.0562999999999999E-4</v>
      </c>
      <c r="V319">
        <v>2.44502E-3</v>
      </c>
      <c r="W319">
        <v>4.5844099999999997E-3</v>
      </c>
      <c r="X319">
        <v>4.2787800000000003E-3</v>
      </c>
      <c r="Y319">
        <v>6.1125000000000003E-4</v>
      </c>
      <c r="Z319">
        <v>8.5575600000000005E-3</v>
      </c>
      <c r="AA319">
        <v>4.2787819999999997E-2</v>
      </c>
      <c r="AB319">
        <v>3.6064020000000002E-2</v>
      </c>
      <c r="AD319">
        <v>5.1345380000000003E-2</v>
      </c>
      <c r="AE319">
        <v>6.9683019999999998E-2</v>
      </c>
      <c r="AF319">
        <v>2.4450179999999998E-2</v>
      </c>
      <c r="AG319">
        <v>4.5844099999999997E-3</v>
      </c>
      <c r="AL319">
        <v>5.5012899999999998E-3</v>
      </c>
      <c r="AW319">
        <v>3.0562699999999998E-3</v>
      </c>
      <c r="AX319">
        <v>1.22251E-3</v>
      </c>
      <c r="AY319">
        <v>1.22251E-3</v>
      </c>
      <c r="BE319">
        <v>1.22251E-3</v>
      </c>
      <c r="BF319">
        <v>1.5281400000000001E-3</v>
      </c>
      <c r="BH319">
        <v>1.22251E-3</v>
      </c>
    </row>
    <row r="320" spans="1:62" x14ac:dyDescent="0.2">
      <c r="A320">
        <v>319</v>
      </c>
      <c r="B320" t="s">
        <v>328</v>
      </c>
      <c r="C320" t="s">
        <v>329</v>
      </c>
      <c r="D320" t="s">
        <v>330</v>
      </c>
      <c r="E320" t="s">
        <v>526</v>
      </c>
      <c r="F320" t="s">
        <v>450</v>
      </c>
      <c r="G320" t="s">
        <v>527</v>
      </c>
      <c r="H320">
        <v>8.0193749999999994E-2</v>
      </c>
      <c r="I320">
        <v>2.0624559000000001E-2</v>
      </c>
      <c r="J320">
        <f t="shared" si="8"/>
        <v>1.7908194939171431</v>
      </c>
      <c r="K320">
        <f t="shared" si="9"/>
        <v>0.87309957852357511</v>
      </c>
      <c r="L320">
        <v>24</v>
      </c>
      <c r="M320" t="s">
        <v>154</v>
      </c>
      <c r="N320">
        <v>4.8500000000000001E-3</v>
      </c>
      <c r="O320">
        <v>1.2999999999999999E-4</v>
      </c>
      <c r="Q320">
        <v>1.4300000000000001E-3</v>
      </c>
      <c r="R320">
        <v>5.7820000000000003E-2</v>
      </c>
      <c r="S320">
        <v>3.0500000000000002E-3</v>
      </c>
      <c r="T320">
        <v>3.7470000000000003E-2</v>
      </c>
      <c r="U320">
        <v>2.15E-3</v>
      </c>
      <c r="V320">
        <v>6.8510000000000001E-2</v>
      </c>
      <c r="W320">
        <v>1.1900000000000001E-3</v>
      </c>
      <c r="Z320">
        <v>4.6149999999999997E-2</v>
      </c>
      <c r="AA320">
        <v>1.2999999999999999E-4</v>
      </c>
      <c r="AB320">
        <v>1.2E-4</v>
      </c>
      <c r="AC320">
        <v>7.8399999999999997E-3</v>
      </c>
      <c r="AD320">
        <v>0.22006000000000001</v>
      </c>
      <c r="AE320">
        <v>1.2999999999999999E-4</v>
      </c>
      <c r="AF320">
        <v>5.1700000000000001E-3</v>
      </c>
      <c r="AG320">
        <v>1.225E-2</v>
      </c>
      <c r="AN320">
        <v>1.1E-4</v>
      </c>
      <c r="AO320">
        <v>1.2999999999999999E-4</v>
      </c>
      <c r="AT320">
        <v>0.44629000000000002</v>
      </c>
      <c r="AU320">
        <v>6.6309999999999994E-2</v>
      </c>
      <c r="AV320">
        <v>0.52761999999999998</v>
      </c>
      <c r="AZ320">
        <v>0.20244000000000001</v>
      </c>
      <c r="BB320">
        <v>0.21329999999999999</v>
      </c>
    </row>
    <row r="321" spans="1:89" x14ac:dyDescent="0.2">
      <c r="A321">
        <v>320</v>
      </c>
      <c r="B321" t="s">
        <v>328</v>
      </c>
      <c r="C321" t="s">
        <v>329</v>
      </c>
      <c r="D321" t="s">
        <v>330</v>
      </c>
      <c r="F321" t="s">
        <v>450</v>
      </c>
      <c r="G321" t="s">
        <v>528</v>
      </c>
      <c r="H321">
        <v>1.3878569999999999E-3</v>
      </c>
      <c r="I321" s="1">
        <v>1.07854E-5</v>
      </c>
      <c r="J321">
        <f t="shared" si="8"/>
        <v>2.3663196385063459</v>
      </c>
      <c r="K321">
        <f t="shared" si="9"/>
        <v>0.92112575089521564</v>
      </c>
      <c r="L321">
        <v>28</v>
      </c>
      <c r="M321" t="s">
        <v>154</v>
      </c>
      <c r="N321">
        <v>4.4000000000000002E-4</v>
      </c>
      <c r="Q321">
        <v>1.6000000000000001E-4</v>
      </c>
      <c r="R321">
        <v>3.63E-3</v>
      </c>
      <c r="S321">
        <v>4.1099999999999999E-3</v>
      </c>
      <c r="T321">
        <v>4.6999999999999999E-4</v>
      </c>
      <c r="U321">
        <v>1.9499999999999999E-3</v>
      </c>
      <c r="V321">
        <v>1.7180000000000001E-2</v>
      </c>
      <c r="W321">
        <v>8.0000000000000004E-4</v>
      </c>
      <c r="Z321">
        <v>1.7600000000000001E-3</v>
      </c>
      <c r="AC321">
        <v>5.1999999999999995E-4</v>
      </c>
      <c r="AD321">
        <v>3.0799999999999998E-3</v>
      </c>
      <c r="AF321">
        <v>2.3000000000000001E-4</v>
      </c>
      <c r="AJ321">
        <v>3.5E-4</v>
      </c>
      <c r="AL321">
        <v>2.7E-4</v>
      </c>
      <c r="AN321">
        <v>3.3E-4</v>
      </c>
      <c r="AS321">
        <v>2.3000000000000001E-4</v>
      </c>
      <c r="AU321">
        <v>1.2999999999999999E-4</v>
      </c>
      <c r="AV321">
        <v>5.9000000000000003E-4</v>
      </c>
      <c r="AX321">
        <v>1.2999999999999999E-4</v>
      </c>
      <c r="AZ321">
        <v>8.8000000000000003E-4</v>
      </c>
      <c r="BA321">
        <v>1.2999999999999999E-4</v>
      </c>
      <c r="BD321">
        <v>1.2999999999999999E-4</v>
      </c>
      <c r="BI321">
        <v>6.9999999999999999E-4</v>
      </c>
      <c r="BP321">
        <v>1.4999999999999999E-4</v>
      </c>
      <c r="BW321">
        <v>1.2E-4</v>
      </c>
      <c r="BX321">
        <v>1.4999999999999999E-4</v>
      </c>
      <c r="BY321">
        <v>1.2E-4</v>
      </c>
      <c r="CK321">
        <v>1.2E-4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Reilly O'Connor</dc:creator>
  <cp:lastModifiedBy>Reilly O'Connor</cp:lastModifiedBy>
  <dcterms:created xsi:type="dcterms:W3CDTF">2025-09-21T23:38:48Z</dcterms:created>
  <dcterms:modified xsi:type="dcterms:W3CDTF">2025-09-21T23:39:05Z</dcterms:modified>
</cp:coreProperties>
</file>